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UVANA KS\OneDrive\Desktop\GRC consultant\"/>
    </mc:Choice>
  </mc:AlternateContent>
  <xr:revisionPtr revIDLastSave="0" documentId="13_ncr:1_{EEF5FA52-5EBA-4B20-ABA6-D2EFF70A88B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ntrol Mapping" sheetId="1" r:id="rId1"/>
    <sheet name="Summary" sheetId="2" r:id="rId2"/>
  </sheets>
  <definedNames>
    <definedName name="_xlnm._FilterDatabase" localSheetId="0" hidden="1">'Control Mapping'!$A$4:$H$65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  <c r="B12" i="2" s="1"/>
  <c r="C5" i="2" l="1"/>
  <c r="C7" i="2"/>
  <c r="C6" i="2"/>
</calcChain>
</file>

<file path=xl/sharedStrings.xml><?xml version="1.0" encoding="utf-8"?>
<sst xmlns="http://schemas.openxmlformats.org/spreadsheetml/2006/main" count="375" uniqueCount="244">
  <si>
    <t>MediSafe Ltd — ISO 27001:2022 Control Mapping &amp; Gap Analysis</t>
  </si>
  <si>
    <t>Control ID</t>
  </si>
  <si>
    <t>Control Name</t>
  </si>
  <si>
    <t>Category</t>
  </si>
  <si>
    <t>Status</t>
  </si>
  <si>
    <t>Evidence of Implementation</t>
  </si>
  <si>
    <t>Gap Description</t>
  </si>
  <si>
    <t>Remediation Action</t>
  </si>
  <si>
    <t>Priority</t>
  </si>
  <si>
    <t>A.5.1</t>
  </si>
  <si>
    <t>Policies for information security</t>
  </si>
  <si>
    <t>Organisational</t>
  </si>
  <si>
    <t>Compliant</t>
  </si>
  <si>
    <t>ISMS policy document drafted and approved by ISO Officer</t>
  </si>
  <si>
    <t>A.5.2</t>
  </si>
  <si>
    <t>Information security roles and responsibilities</t>
  </si>
  <si>
    <t>ISO Officer appointed; responsibilities documented per team</t>
  </si>
  <si>
    <t>A.5.3</t>
  </si>
  <si>
    <t>Segregation of duties</t>
  </si>
  <si>
    <t>Access approval and access granting are performed by different staff</t>
  </si>
  <si>
    <t>A.5.4</t>
  </si>
  <si>
    <t>Management responsibilities</t>
  </si>
  <si>
    <t>Senior management sign-off on ISMS policy; security included in KPIs</t>
  </si>
  <si>
    <t>A.5.7</t>
  </si>
  <si>
    <t>Threat intelligence</t>
  </si>
  <si>
    <t>Non-Compliant</t>
  </si>
  <si>
    <t>No formal threat intelligence process exists</t>
  </si>
  <si>
    <t>MediSafe has no documented process for monitoring healthcare sector threats</t>
  </si>
  <si>
    <t>Subscribe to CERT-EU and NCSC Ireland threat feeds; assign ISO Officer to review monthly</t>
  </si>
  <si>
    <t>High</t>
  </si>
  <si>
    <t>A.5.8</t>
  </si>
  <si>
    <t>Information security in project management</t>
  </si>
  <si>
    <t>Partially Compliant</t>
  </si>
  <si>
    <t>Security reviews conducted informally on some projects</t>
  </si>
  <si>
    <t>No formal security checkpoint at project initiation stage</t>
  </si>
  <si>
    <t>Embed a mandatory security review gate into the project management template</t>
  </si>
  <si>
    <t>Medium</t>
  </si>
  <si>
    <t>A.5.9</t>
  </si>
  <si>
    <t>Inventory of information and other assets</t>
  </si>
  <si>
    <t>Asset register maintained covering AWS, devices, apps, and databases</t>
  </si>
  <si>
    <t>A.5.12</t>
  </si>
  <si>
    <t>Classification of information</t>
  </si>
  <si>
    <t>Data classification policy in place: Confidential / Internal / Public</t>
  </si>
  <si>
    <t>A.5.14</t>
  </si>
  <si>
    <t>Information transfer</t>
  </si>
  <si>
    <t>Encrypted email used; no formal data transfer agreements with all partners</t>
  </si>
  <si>
    <t>Data sharing agreements not in place with all third-party integrations</t>
  </si>
  <si>
    <t>Implement formal data transfer agreements with all partners handling patient data</t>
  </si>
  <si>
    <t>A.5.15</t>
  </si>
  <si>
    <t>Access control</t>
  </si>
  <si>
    <t>RBAC implemented across all systems; quarterly access reviews in place</t>
  </si>
  <si>
    <t>A.5.16</t>
  </si>
  <si>
    <t>Identity management</t>
  </si>
  <si>
    <t>Unique user accounts enforced; no shared accounts permitted</t>
  </si>
  <si>
    <t>A.5.17</t>
  </si>
  <si>
    <t>Authentication information</t>
  </si>
  <si>
    <t>MFA enforced on all cloud systems; 12-char minimum password policy</t>
  </si>
  <si>
    <t>A.5.19</t>
  </si>
  <si>
    <t>Information security in supplier relationships</t>
  </si>
  <si>
    <t>Supplier security assessments conducted prior to onboarding</t>
  </si>
  <si>
    <t>A.5.20</t>
  </si>
  <si>
    <t>Addressing security within supplier agreements</t>
  </si>
  <si>
    <t>Security clauses included in all supplier contracts</t>
  </si>
  <si>
    <t>A.5.22</t>
  </si>
  <si>
    <t>Monitoring, review of supplier services</t>
  </si>
  <si>
    <t>AWS SOC 2 reviewed annually; other vendors not yet formally reviewed</t>
  </si>
  <si>
    <t>Vendor review process not consistently applied to all suppliers</t>
  </si>
  <si>
    <t>Implement annual vendor review schedule covering all tier-1 suppliers</t>
  </si>
  <si>
    <t>A.5.23</t>
  </si>
  <si>
    <t>Information security for use of cloud services</t>
  </si>
  <si>
    <t>AWS security configuration reviewed; shared responsibility model documented</t>
  </si>
  <si>
    <t>A.5.24</t>
  </si>
  <si>
    <t>Incident management planning and preparation</t>
  </si>
  <si>
    <t>Incident Response Plan documented and approved</t>
  </si>
  <si>
    <t>A.5.26</t>
  </si>
  <si>
    <t>Response to information security incidents</t>
  </si>
  <si>
    <t>IRP includes 72-hour GDPR notification procedure</t>
  </si>
  <si>
    <t>A.5.29</t>
  </si>
  <si>
    <t>Information security during disruption</t>
  </si>
  <si>
    <t>Security controls maintained within BCP and DRP documentation</t>
  </si>
  <si>
    <t>A.5.31</t>
  </si>
  <si>
    <t>Legal, statutory, regulatory requirements</t>
  </si>
  <si>
    <t>GDPR, Irish DPA, and HIPAA requirements identified and documented</t>
  </si>
  <si>
    <t>A.5.34</t>
  </si>
  <si>
    <t>Privacy and protection of PII</t>
  </si>
  <si>
    <t>GDPR-aligned privacy policy in place; DPO role identified</t>
  </si>
  <si>
    <t>A.5.35</t>
  </si>
  <si>
    <t>Independent review of information security</t>
  </si>
  <si>
    <t>No independent ISMS audit has been conducted to date</t>
  </si>
  <si>
    <t>MediSafe has not yet undergone an internal or third-party ISMS audit</t>
  </si>
  <si>
    <t>Schedule an independent ISMS audit within the next 6 months</t>
  </si>
  <si>
    <t>A.5.36</t>
  </si>
  <si>
    <t>Compliance with policies, rules and standards</t>
  </si>
  <si>
    <t>Policies exist but compliance verification is informal</t>
  </si>
  <si>
    <t>No formal mechanism to verify staff are following security policies</t>
  </si>
  <si>
    <t>Implement quarterly compliance spot-checks by line managers</t>
  </si>
  <si>
    <t>A.6.1</t>
  </si>
  <si>
    <t>Screening</t>
  </si>
  <si>
    <t>People</t>
  </si>
  <si>
    <t>Background checks conducted on all new hires before employment</t>
  </si>
  <si>
    <t>A.6.2</t>
  </si>
  <si>
    <t>Terms and conditions of employment</t>
  </si>
  <si>
    <t>Security clauses included in all employment contracts</t>
  </si>
  <si>
    <t>A.6.3</t>
  </si>
  <si>
    <t>Information security awareness and training</t>
  </si>
  <si>
    <t>Onboarding training in place; annual refresher not yet formalised</t>
  </si>
  <si>
    <t>Annual refresher training has not been consistently delivered to all staff</t>
  </si>
  <si>
    <t>Formalise annual security awareness training with tracked completion records</t>
  </si>
  <si>
    <t>A.6.4</t>
  </si>
  <si>
    <t>Disciplinary process</t>
  </si>
  <si>
    <t>No formal disciplinary process for security violations exists</t>
  </si>
  <si>
    <t>Security policy violations are handled informally with no documented process</t>
  </si>
  <si>
    <t>Develop and implement a formal security disciplinary procedure aligned to Irish employment law</t>
  </si>
  <si>
    <t>A.6.5</t>
  </si>
  <si>
    <t>Responsibilities after termination</t>
  </si>
  <si>
    <t>Access revoked within 24 hours; offboarding checklist in place</t>
  </si>
  <si>
    <t>A.6.6</t>
  </si>
  <si>
    <t>Confidentiality / NDA agreements</t>
  </si>
  <si>
    <t>NDAs signed by all staff and contractors before access is granted</t>
  </si>
  <si>
    <t>A.6.7</t>
  </si>
  <si>
    <t>Remote working</t>
  </si>
  <si>
    <t>Remote working policy in place; VPN required for all remote access</t>
  </si>
  <si>
    <t>A.6.8</t>
  </si>
  <si>
    <t>Information security event reporting</t>
  </si>
  <si>
    <t>Dedicated security reporting channel in place (security@medisafe.ie)</t>
  </si>
  <si>
    <t>A.7.1</t>
  </si>
  <si>
    <t>Physical security perimeters</t>
  </si>
  <si>
    <t>Physical</t>
  </si>
  <si>
    <t>Office access controlled; secure areas separately controlled</t>
  </si>
  <si>
    <t>A.7.2</t>
  </si>
  <si>
    <t>Physical entry</t>
  </si>
  <si>
    <t>Key card access in place; visitor sign-in and escort policy enforced</t>
  </si>
  <si>
    <t>A.7.3</t>
  </si>
  <si>
    <t>Securing offices, rooms and facilities</t>
  </si>
  <si>
    <t>Secure areas locked when not in use; access restricted to named staff</t>
  </si>
  <si>
    <t>A.7.4</t>
  </si>
  <si>
    <t>Physical security monitoring</t>
  </si>
  <si>
    <t>CCTV installed at entry points; no coverage of all secure areas</t>
  </si>
  <si>
    <t>CCTV does not cover all internal secure areas within the office</t>
  </si>
  <si>
    <t>Extend CCTV coverage to all secure areas; retain footage for minimum 30 days</t>
  </si>
  <si>
    <t>A.7.7</t>
  </si>
  <si>
    <t>Clear desk and clear screen</t>
  </si>
  <si>
    <t>Clear desk policy exists but compliance is inconsistent</t>
  </si>
  <si>
    <t>Staff observed leaving sensitive documents on desks outside of core hours</t>
  </si>
  <si>
    <t>Conduct clear desk audits monthly; include compliance in line manager KPIs</t>
  </si>
  <si>
    <t>A.7.9</t>
  </si>
  <si>
    <t>Security of assets off-premises</t>
  </si>
  <si>
    <t>Device encryption enforced; MDM remote wipe enabled on all devices</t>
  </si>
  <si>
    <t>A.7.10</t>
  </si>
  <si>
    <t>Storage media</t>
  </si>
  <si>
    <t>USB policy enforced; storage media tracked in asset register</t>
  </si>
  <si>
    <t>A.7.14</t>
  </si>
  <si>
    <t>Secure disposal or re-use of equipment</t>
  </si>
  <si>
    <t>Certified data destruction used; disposal certificates retained</t>
  </si>
  <si>
    <t>A.8.1</t>
  </si>
  <si>
    <t>User endpoint devices</t>
  </si>
  <si>
    <t>Technological</t>
  </si>
  <si>
    <t>All devices enrolled in MDM; encryption and AV enforced</t>
  </si>
  <si>
    <t>A.8.2</t>
  </si>
  <si>
    <t>Privileged access rights</t>
  </si>
  <si>
    <t>Privileged accounts named, MFA enforced, reviewed quarterly</t>
  </si>
  <si>
    <t>A.8.3</t>
  </si>
  <si>
    <t>Information access restriction</t>
  </si>
  <si>
    <t>RBAC implemented; developers do not have access to live patient data</t>
  </si>
  <si>
    <t>A.8.5</t>
  </si>
  <si>
    <t>Secure authentication</t>
  </si>
  <si>
    <t>MFA mandatory on all cloud systems; SSO configured</t>
  </si>
  <si>
    <t>A.8.7</t>
  </si>
  <si>
    <t>Protection against malware</t>
  </si>
  <si>
    <t>Antivirus deployed on all endpoints; email filtering in place</t>
  </si>
  <si>
    <t>A.8.8</t>
  </si>
  <si>
    <t>Management of technical vulnerabilities</t>
  </si>
  <si>
    <t>No formal vulnerability scanning programme in place</t>
  </si>
  <si>
    <t>Vulnerability scans have not been conducted on a regular scheduled basis</t>
  </si>
  <si>
    <t>Deploy AWS Inspector and schedule monthly automated vulnerability scans</t>
  </si>
  <si>
    <t>Critical</t>
  </si>
  <si>
    <t>A.8.9</t>
  </si>
  <si>
    <t>Configuration management</t>
  </si>
  <si>
    <t>Security baselines documented; AWS Security Hub monitors compliance</t>
  </si>
  <si>
    <t>A.8.11</t>
  </si>
  <si>
    <t>Data masking</t>
  </si>
  <si>
    <t>Real patient data has been used in test environments</t>
  </si>
  <si>
    <t>Development team has accessed live patient records for testing purposes</t>
  </si>
  <si>
    <t>Implement data masking tooling immediately; enforce synthetic data policy in all non-prod environments</t>
  </si>
  <si>
    <t>A.8.12</t>
  </si>
  <si>
    <t>Data leakage prevention</t>
  </si>
  <si>
    <t>No DLP tooling currently deployed</t>
  </si>
  <si>
    <t>No technical controls exist to prevent unauthorised data exfiltration</t>
  </si>
  <si>
    <t>Evaluate and deploy a DLP solution; configure alerts for sensitive data transfers</t>
  </si>
  <si>
    <t>A.8.13</t>
  </si>
  <si>
    <t>Information backup</t>
  </si>
  <si>
    <t>Daily encrypted backups; stored in separate AWS region; tested monthly</t>
  </si>
  <si>
    <t>A.8.15</t>
  </si>
  <si>
    <t>Logging</t>
  </si>
  <si>
    <t>CloudTrail enabled across all AWS accounts; logs in write-once S3</t>
  </si>
  <si>
    <t>A.8.16</t>
  </si>
  <si>
    <t>Monitoring activities</t>
  </si>
  <si>
    <t>CloudWatch and Security Hub configured; automated alerting in place</t>
  </si>
  <si>
    <t>A.8.20</t>
  </si>
  <si>
    <t>Network security</t>
  </si>
  <si>
    <t>VPC with strict firewall rules; GuardDuty enabled; VPN for remote access</t>
  </si>
  <si>
    <t>A.8.22</t>
  </si>
  <si>
    <t>Segregation of networks</t>
  </si>
  <si>
    <t>Production, dev, corporate, and guest networks fully separated</t>
  </si>
  <si>
    <t>A.8.23</t>
  </si>
  <si>
    <t>Web filtering</t>
  </si>
  <si>
    <t>No web filtering currently deployed</t>
  </si>
  <si>
    <t>Staff can access malicious or high-risk websites via corporate network</t>
  </si>
  <si>
    <t>Deploy DNS-based web filtering (e.g. Cisco Umbrella or Cloudflare Gateway)</t>
  </si>
  <si>
    <t>A.8.24</t>
  </si>
  <si>
    <t>Use of cryptography</t>
  </si>
  <si>
    <t>AES-256 at rest; TLS 1.2+ in transit; keys managed via AWS KMS</t>
  </si>
  <si>
    <t>A.8.25</t>
  </si>
  <si>
    <t>Secure development lifecycle</t>
  </si>
  <si>
    <t>Security requirements defined at project start; SAST run on all PRs</t>
  </si>
  <si>
    <t>A.8.28</t>
  </si>
  <si>
    <t>Secure coding</t>
  </si>
  <si>
    <t>OWASP guidelines followed; peer review mandatory before merge</t>
  </si>
  <si>
    <t>A.8.29</t>
  </si>
  <si>
    <t>Security testing in development and acceptance</t>
  </si>
  <si>
    <t>No formal penetration testing has been conducted</t>
  </si>
  <si>
    <t>MediSafe has not engaged a third-party to conduct a penetration test</t>
  </si>
  <si>
    <t>Engage a qualified penetration testing provider; schedule annual pen test</t>
  </si>
  <si>
    <t>A.8.31</t>
  </si>
  <si>
    <t>Separation of dev, test and production</t>
  </si>
  <si>
    <t>Fully separate AWS environments; devs have no production access</t>
  </si>
  <si>
    <t>A.8.32</t>
  </si>
  <si>
    <t>Change management</t>
  </si>
  <si>
    <t>Formal change management process in place with approval sign-off</t>
  </si>
  <si>
    <t>A.8.33</t>
  </si>
  <si>
    <t>Test information</t>
  </si>
  <si>
    <t>Synthetic data policy exists but not consistently enforced</t>
  </si>
  <si>
    <t>Instances of real data being used in testing have been identified (see A.8.11)</t>
  </si>
  <si>
    <t>Enforce data masking policy; audit test environments quarterly</t>
  </si>
  <si>
    <t>MediSafe Ltd — ISO 27001 Compliance Summary</t>
  </si>
  <si>
    <t>Metric</t>
  </si>
  <si>
    <t>Count</t>
  </si>
  <si>
    <t>Percentage</t>
  </si>
  <si>
    <t>Total Controls Assessed</t>
  </si>
  <si>
    <t>Critical Priority</t>
  </si>
  <si>
    <t>High Priority</t>
  </si>
  <si>
    <t>Medium Priority</t>
  </si>
  <si>
    <t>Overall Compliance Score</t>
  </si>
  <si>
    <t>Prepared by: Bhuvana Kodathi Srinivas  |  Version: 1.0  |  Date: January 2026  |  Framework: ISO/IEC 27001:2022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</si>
</sst>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1F3864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color rgb="FF375623"/>
      <name val="Arial"/>
      <charset val="1"/>
    </font>
    <font>
      <b/>
      <sz val="9"/>
      <color rgb="FFC00000"/>
      <name val="Arial"/>
      <charset val="1"/>
    </font>
    <font>
      <b/>
      <sz val="9"/>
      <color rgb="FF7D6608"/>
      <name val="Arial"/>
      <charset val="1"/>
    </font>
    <font>
      <b/>
      <sz val="9"/>
      <color rgb="FF1A5276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375623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DEEAF1"/>
        <bgColor rgb="FFE8EAF6"/>
      </patternFill>
    </fill>
    <fill>
      <patternFill patternType="solid">
        <fgColor rgb="FFE8EAF6"/>
        <bgColor rgb="FFDEEAF1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E6E6"/>
      </patternFill>
    </fill>
    <fill>
      <patternFill patternType="solid">
        <fgColor rgb="FFFFF2CC"/>
        <bgColor rgb="FFFFF8E1"/>
      </patternFill>
    </fill>
    <fill>
      <patternFill patternType="solid">
        <fgColor rgb="FFEBF5FB"/>
        <bgColor rgb="FFE3F2FD"/>
      </patternFill>
    </fill>
    <fill>
      <patternFill patternType="solid">
        <fgColor rgb="FFE8F5E9"/>
        <bgColor rgb="FFEBF5FB"/>
      </patternFill>
    </fill>
    <fill>
      <patternFill patternType="solid">
        <fgColor rgb="FFFFF8E1"/>
        <bgColor rgb="FFFFF2CC"/>
      </patternFill>
    </fill>
    <fill>
      <patternFill patternType="solid">
        <fgColor rgb="FFE3F2FD"/>
        <bgColor rgb="FFEBF5FB"/>
      </patternFill>
    </fill>
    <fill>
      <patternFill patternType="solid">
        <fgColor rgb="FFFFE6E6"/>
        <bgColor rgb="FF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6" fillId="6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6" fillId="1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/>
    <xf numFmtId="0" fontId="10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164" fontId="11" fillId="7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CCCCCC"/>
      <rgbColor rgb="FF808080"/>
      <rgbColor rgb="FF9999FF"/>
      <rgbColor rgb="FF993366"/>
      <rgbColor rgb="FFFFF8E1"/>
      <rgbColor rgb="FFE3F2FD"/>
      <rgbColor rgb="FF660066"/>
      <rgbColor rgb="FFFF8080"/>
      <rgbColor rgb="FF0066CC"/>
      <rgbColor rgb="FFDEEA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2EFDA"/>
      <rgbColor rgb="FFFFF2CC"/>
      <rgbColor rgb="FFE8EAF6"/>
      <rgbColor rgb="FFFFE6E6"/>
      <rgbColor rgb="FFEBF5FB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A527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zoomScaleNormal="100" workbookViewId="0">
      <pane ySplit="4" topLeftCell="A5" activePane="bottomLeft" state="frozen"/>
      <selection pane="bottomLeft" activeCell="A2" sqref="A2:H2"/>
    </sheetView>
  </sheetViews>
  <sheetFormatPr defaultColWidth="8.6640625" defaultRowHeight="14.4" x14ac:dyDescent="0.3"/>
  <cols>
    <col min="1" max="1" width="12" customWidth="1"/>
    <col min="2" max="2" width="30" customWidth="1"/>
    <col min="3" max="3" width="16" customWidth="1"/>
    <col min="4" max="4" width="20" customWidth="1"/>
    <col min="5" max="6" width="45" customWidth="1"/>
    <col min="7" max="7" width="50" customWidth="1"/>
    <col min="8" max="8" width="12" customWidth="1"/>
  </cols>
  <sheetData>
    <row r="1" spans="1:8" ht="30" customHeight="1" x14ac:dyDescent="0.3">
      <c r="A1" s="2" t="s">
        <v>0</v>
      </c>
      <c r="B1" s="2"/>
      <c r="C1" s="2"/>
      <c r="D1" s="2"/>
      <c r="E1" s="2"/>
      <c r="F1" s="2"/>
      <c r="G1" s="2"/>
      <c r="H1" s="2"/>
    </row>
    <row r="2" spans="1:8" ht="18" customHeight="1" x14ac:dyDescent="0.3">
      <c r="A2" s="1" t="s">
        <v>243</v>
      </c>
      <c r="B2" s="1"/>
      <c r="C2" s="1"/>
      <c r="D2" s="1"/>
      <c r="E2" s="1"/>
      <c r="F2" s="1"/>
      <c r="G2" s="1"/>
      <c r="H2" s="1"/>
    </row>
    <row r="3" spans="1:8" ht="6" customHeight="1" x14ac:dyDescent="0.3"/>
    <row r="4" spans="1:8" ht="30" customHeight="1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8" ht="54.75" customHeight="1" x14ac:dyDescent="0.3">
      <c r="A5" s="4" t="s">
        <v>9</v>
      </c>
      <c r="B5" s="4" t="s">
        <v>10</v>
      </c>
      <c r="C5" s="4" t="s">
        <v>11</v>
      </c>
      <c r="D5" s="5" t="s">
        <v>12</v>
      </c>
      <c r="E5" s="6" t="s">
        <v>13</v>
      </c>
      <c r="F5" s="6"/>
      <c r="G5" s="6"/>
      <c r="H5" s="6"/>
    </row>
    <row r="6" spans="1:8" ht="54.75" customHeight="1" x14ac:dyDescent="0.3">
      <c r="A6" s="4" t="s">
        <v>14</v>
      </c>
      <c r="B6" s="4" t="s">
        <v>15</v>
      </c>
      <c r="C6" s="4" t="s">
        <v>11</v>
      </c>
      <c r="D6" s="5" t="s">
        <v>12</v>
      </c>
      <c r="E6" s="6" t="s">
        <v>16</v>
      </c>
      <c r="F6" s="6"/>
      <c r="G6" s="6"/>
      <c r="H6" s="6"/>
    </row>
    <row r="7" spans="1:8" ht="54.75" customHeight="1" x14ac:dyDescent="0.3">
      <c r="A7" s="4" t="s">
        <v>17</v>
      </c>
      <c r="B7" s="4" t="s">
        <v>18</v>
      </c>
      <c r="C7" s="4" t="s">
        <v>11</v>
      </c>
      <c r="D7" s="5" t="s">
        <v>12</v>
      </c>
      <c r="E7" s="6" t="s">
        <v>19</v>
      </c>
      <c r="F7" s="6"/>
      <c r="G7" s="6"/>
      <c r="H7" s="6"/>
    </row>
    <row r="8" spans="1:8" ht="54.75" customHeight="1" x14ac:dyDescent="0.3">
      <c r="A8" s="4" t="s">
        <v>20</v>
      </c>
      <c r="B8" s="4" t="s">
        <v>21</v>
      </c>
      <c r="C8" s="4" t="s">
        <v>11</v>
      </c>
      <c r="D8" s="5" t="s">
        <v>12</v>
      </c>
      <c r="E8" s="6" t="s">
        <v>22</v>
      </c>
      <c r="F8" s="6"/>
      <c r="G8" s="6"/>
      <c r="H8" s="6"/>
    </row>
    <row r="9" spans="1:8" ht="54.75" customHeight="1" x14ac:dyDescent="0.3">
      <c r="A9" s="4" t="s">
        <v>23</v>
      </c>
      <c r="B9" s="4" t="s">
        <v>24</v>
      </c>
      <c r="C9" s="4" t="s">
        <v>11</v>
      </c>
      <c r="D9" s="7" t="s">
        <v>25</v>
      </c>
      <c r="E9" s="6" t="s">
        <v>26</v>
      </c>
      <c r="F9" s="6" t="s">
        <v>27</v>
      </c>
      <c r="G9" s="6" t="s">
        <v>28</v>
      </c>
      <c r="H9" s="8" t="s">
        <v>29</v>
      </c>
    </row>
    <row r="10" spans="1:8" ht="54.75" customHeight="1" x14ac:dyDescent="0.3">
      <c r="A10" s="4" t="s">
        <v>30</v>
      </c>
      <c r="B10" s="4" t="s">
        <v>31</v>
      </c>
      <c r="C10" s="4" t="s">
        <v>11</v>
      </c>
      <c r="D10" s="9" t="s">
        <v>32</v>
      </c>
      <c r="E10" s="6" t="s">
        <v>33</v>
      </c>
      <c r="F10" s="6" t="s">
        <v>34</v>
      </c>
      <c r="G10" s="6" t="s">
        <v>35</v>
      </c>
      <c r="H10" s="10" t="s">
        <v>36</v>
      </c>
    </row>
    <row r="11" spans="1:8" ht="54.75" customHeight="1" x14ac:dyDescent="0.3">
      <c r="A11" s="4" t="s">
        <v>37</v>
      </c>
      <c r="B11" s="4" t="s">
        <v>38</v>
      </c>
      <c r="C11" s="4" t="s">
        <v>11</v>
      </c>
      <c r="D11" s="5" t="s">
        <v>12</v>
      </c>
      <c r="E11" s="6" t="s">
        <v>39</v>
      </c>
      <c r="F11" s="6"/>
      <c r="G11" s="6"/>
      <c r="H11" s="6"/>
    </row>
    <row r="12" spans="1:8" ht="54.75" customHeight="1" x14ac:dyDescent="0.3">
      <c r="A12" s="4" t="s">
        <v>40</v>
      </c>
      <c r="B12" s="4" t="s">
        <v>41</v>
      </c>
      <c r="C12" s="4" t="s">
        <v>11</v>
      </c>
      <c r="D12" s="5" t="s">
        <v>12</v>
      </c>
      <c r="E12" s="6" t="s">
        <v>42</v>
      </c>
      <c r="F12" s="6"/>
      <c r="G12" s="6"/>
      <c r="H12" s="6"/>
    </row>
    <row r="13" spans="1:8" ht="54.75" customHeight="1" x14ac:dyDescent="0.3">
      <c r="A13" s="4" t="s">
        <v>43</v>
      </c>
      <c r="B13" s="4" t="s">
        <v>44</v>
      </c>
      <c r="C13" s="4" t="s">
        <v>11</v>
      </c>
      <c r="D13" s="9" t="s">
        <v>32</v>
      </c>
      <c r="E13" s="6" t="s">
        <v>45</v>
      </c>
      <c r="F13" s="6" t="s">
        <v>46</v>
      </c>
      <c r="G13" s="6" t="s">
        <v>47</v>
      </c>
      <c r="H13" s="8" t="s">
        <v>29</v>
      </c>
    </row>
    <row r="14" spans="1:8" ht="54.75" customHeight="1" x14ac:dyDescent="0.3">
      <c r="A14" s="4" t="s">
        <v>48</v>
      </c>
      <c r="B14" s="4" t="s">
        <v>49</v>
      </c>
      <c r="C14" s="4" t="s">
        <v>11</v>
      </c>
      <c r="D14" s="5" t="s">
        <v>12</v>
      </c>
      <c r="E14" s="6" t="s">
        <v>50</v>
      </c>
      <c r="F14" s="6"/>
      <c r="G14" s="6"/>
      <c r="H14" s="6"/>
    </row>
    <row r="15" spans="1:8" ht="54.75" customHeight="1" x14ac:dyDescent="0.3">
      <c r="A15" s="4" t="s">
        <v>51</v>
      </c>
      <c r="B15" s="4" t="s">
        <v>52</v>
      </c>
      <c r="C15" s="4" t="s">
        <v>11</v>
      </c>
      <c r="D15" s="5" t="s">
        <v>12</v>
      </c>
      <c r="E15" s="6" t="s">
        <v>53</v>
      </c>
      <c r="F15" s="6"/>
      <c r="G15" s="6"/>
      <c r="H15" s="6"/>
    </row>
    <row r="16" spans="1:8" ht="54.75" customHeight="1" x14ac:dyDescent="0.3">
      <c r="A16" s="4" t="s">
        <v>54</v>
      </c>
      <c r="B16" s="4" t="s">
        <v>55</v>
      </c>
      <c r="C16" s="4" t="s">
        <v>11</v>
      </c>
      <c r="D16" s="5" t="s">
        <v>12</v>
      </c>
      <c r="E16" s="6" t="s">
        <v>56</v>
      </c>
      <c r="F16" s="6"/>
      <c r="G16" s="6"/>
      <c r="H16" s="6"/>
    </row>
    <row r="17" spans="1:8" ht="54.75" customHeight="1" x14ac:dyDescent="0.3">
      <c r="A17" s="4" t="s">
        <v>57</v>
      </c>
      <c r="B17" s="4" t="s">
        <v>58</v>
      </c>
      <c r="C17" s="4" t="s">
        <v>11</v>
      </c>
      <c r="D17" s="5" t="s">
        <v>12</v>
      </c>
      <c r="E17" s="6" t="s">
        <v>59</v>
      </c>
      <c r="F17" s="6"/>
      <c r="G17" s="6"/>
      <c r="H17" s="6"/>
    </row>
    <row r="18" spans="1:8" ht="54.75" customHeight="1" x14ac:dyDescent="0.3">
      <c r="A18" s="4" t="s">
        <v>60</v>
      </c>
      <c r="B18" s="4" t="s">
        <v>61</v>
      </c>
      <c r="C18" s="4" t="s">
        <v>11</v>
      </c>
      <c r="D18" s="5" t="s">
        <v>12</v>
      </c>
      <c r="E18" s="6" t="s">
        <v>62</v>
      </c>
      <c r="F18" s="6"/>
      <c r="G18" s="6"/>
      <c r="H18" s="6"/>
    </row>
    <row r="19" spans="1:8" ht="54.75" customHeight="1" x14ac:dyDescent="0.3">
      <c r="A19" s="4" t="s">
        <v>63</v>
      </c>
      <c r="B19" s="4" t="s">
        <v>64</v>
      </c>
      <c r="C19" s="4" t="s">
        <v>11</v>
      </c>
      <c r="D19" s="9" t="s">
        <v>32</v>
      </c>
      <c r="E19" s="6" t="s">
        <v>65</v>
      </c>
      <c r="F19" s="6" t="s">
        <v>66</v>
      </c>
      <c r="G19" s="6" t="s">
        <v>67</v>
      </c>
      <c r="H19" s="10" t="s">
        <v>36</v>
      </c>
    </row>
    <row r="20" spans="1:8" ht="54.75" customHeight="1" x14ac:dyDescent="0.3">
      <c r="A20" s="4" t="s">
        <v>68</v>
      </c>
      <c r="B20" s="4" t="s">
        <v>69</v>
      </c>
      <c r="C20" s="4" t="s">
        <v>11</v>
      </c>
      <c r="D20" s="5" t="s">
        <v>12</v>
      </c>
      <c r="E20" s="6" t="s">
        <v>70</v>
      </c>
      <c r="F20" s="6"/>
      <c r="G20" s="6"/>
      <c r="H20" s="6"/>
    </row>
    <row r="21" spans="1:8" ht="54.75" customHeight="1" x14ac:dyDescent="0.3">
      <c r="A21" s="4" t="s">
        <v>71</v>
      </c>
      <c r="B21" s="4" t="s">
        <v>72</v>
      </c>
      <c r="C21" s="4" t="s">
        <v>11</v>
      </c>
      <c r="D21" s="5" t="s">
        <v>12</v>
      </c>
      <c r="E21" s="6" t="s">
        <v>73</v>
      </c>
      <c r="F21" s="6"/>
      <c r="G21" s="6"/>
      <c r="H21" s="6"/>
    </row>
    <row r="22" spans="1:8" ht="54.75" customHeight="1" x14ac:dyDescent="0.3">
      <c r="A22" s="4" t="s">
        <v>74</v>
      </c>
      <c r="B22" s="4" t="s">
        <v>75</v>
      </c>
      <c r="C22" s="4" t="s">
        <v>11</v>
      </c>
      <c r="D22" s="5" t="s">
        <v>12</v>
      </c>
      <c r="E22" s="6" t="s">
        <v>76</v>
      </c>
      <c r="F22" s="6"/>
      <c r="G22" s="6"/>
      <c r="H22" s="6"/>
    </row>
    <row r="23" spans="1:8" ht="54.75" customHeight="1" x14ac:dyDescent="0.3">
      <c r="A23" s="4" t="s">
        <v>77</v>
      </c>
      <c r="B23" s="4" t="s">
        <v>78</v>
      </c>
      <c r="C23" s="4" t="s">
        <v>11</v>
      </c>
      <c r="D23" s="5" t="s">
        <v>12</v>
      </c>
      <c r="E23" s="6" t="s">
        <v>79</v>
      </c>
      <c r="F23" s="6"/>
      <c r="G23" s="6"/>
      <c r="H23" s="6"/>
    </row>
    <row r="24" spans="1:8" ht="54.75" customHeight="1" x14ac:dyDescent="0.3">
      <c r="A24" s="4" t="s">
        <v>80</v>
      </c>
      <c r="B24" s="4" t="s">
        <v>81</v>
      </c>
      <c r="C24" s="4" t="s">
        <v>11</v>
      </c>
      <c r="D24" s="5" t="s">
        <v>12</v>
      </c>
      <c r="E24" s="6" t="s">
        <v>82</v>
      </c>
      <c r="F24" s="6"/>
      <c r="G24" s="6"/>
      <c r="H24" s="6"/>
    </row>
    <row r="25" spans="1:8" ht="54.75" customHeight="1" x14ac:dyDescent="0.3">
      <c r="A25" s="4" t="s">
        <v>83</v>
      </c>
      <c r="B25" s="4" t="s">
        <v>84</v>
      </c>
      <c r="C25" s="4" t="s">
        <v>11</v>
      </c>
      <c r="D25" s="5" t="s">
        <v>12</v>
      </c>
      <c r="E25" s="6" t="s">
        <v>85</v>
      </c>
      <c r="F25" s="6"/>
      <c r="G25" s="6"/>
      <c r="H25" s="6"/>
    </row>
    <row r="26" spans="1:8" ht="54.75" customHeight="1" x14ac:dyDescent="0.3">
      <c r="A26" s="4" t="s">
        <v>86</v>
      </c>
      <c r="B26" s="4" t="s">
        <v>87</v>
      </c>
      <c r="C26" s="4" t="s">
        <v>11</v>
      </c>
      <c r="D26" s="7" t="s">
        <v>25</v>
      </c>
      <c r="E26" s="6" t="s">
        <v>88</v>
      </c>
      <c r="F26" s="6" t="s">
        <v>89</v>
      </c>
      <c r="G26" s="6" t="s">
        <v>90</v>
      </c>
      <c r="H26" s="8" t="s">
        <v>29</v>
      </c>
    </row>
    <row r="27" spans="1:8" ht="54.75" customHeight="1" x14ac:dyDescent="0.3">
      <c r="A27" s="4" t="s">
        <v>91</v>
      </c>
      <c r="B27" s="4" t="s">
        <v>92</v>
      </c>
      <c r="C27" s="4" t="s">
        <v>11</v>
      </c>
      <c r="D27" s="9" t="s">
        <v>32</v>
      </c>
      <c r="E27" s="6" t="s">
        <v>93</v>
      </c>
      <c r="F27" s="6" t="s">
        <v>94</v>
      </c>
      <c r="G27" s="6" t="s">
        <v>95</v>
      </c>
      <c r="H27" s="10" t="s">
        <v>36</v>
      </c>
    </row>
    <row r="28" spans="1:8" ht="54.75" customHeight="1" x14ac:dyDescent="0.3">
      <c r="A28" s="11" t="s">
        <v>96</v>
      </c>
      <c r="B28" s="11" t="s">
        <v>97</v>
      </c>
      <c r="C28" s="11" t="s">
        <v>98</v>
      </c>
      <c r="D28" s="5" t="s">
        <v>12</v>
      </c>
      <c r="E28" s="6" t="s">
        <v>99</v>
      </c>
      <c r="F28" s="6"/>
      <c r="G28" s="6"/>
      <c r="H28" s="6"/>
    </row>
    <row r="29" spans="1:8" ht="54.75" customHeight="1" x14ac:dyDescent="0.3">
      <c r="A29" s="11" t="s">
        <v>100</v>
      </c>
      <c r="B29" s="11" t="s">
        <v>101</v>
      </c>
      <c r="C29" s="11" t="s">
        <v>98</v>
      </c>
      <c r="D29" s="5" t="s">
        <v>12</v>
      </c>
      <c r="E29" s="6" t="s">
        <v>102</v>
      </c>
      <c r="F29" s="6"/>
      <c r="G29" s="6"/>
      <c r="H29" s="6"/>
    </row>
    <row r="30" spans="1:8" ht="54.75" customHeight="1" x14ac:dyDescent="0.3">
      <c r="A30" s="11" t="s">
        <v>103</v>
      </c>
      <c r="B30" s="11" t="s">
        <v>104</v>
      </c>
      <c r="C30" s="11" t="s">
        <v>98</v>
      </c>
      <c r="D30" s="9" t="s">
        <v>32</v>
      </c>
      <c r="E30" s="6" t="s">
        <v>105</v>
      </c>
      <c r="F30" s="6" t="s">
        <v>106</v>
      </c>
      <c r="G30" s="6" t="s">
        <v>107</v>
      </c>
      <c r="H30" s="8" t="s">
        <v>29</v>
      </c>
    </row>
    <row r="31" spans="1:8" ht="54.75" customHeight="1" x14ac:dyDescent="0.3">
      <c r="A31" s="11" t="s">
        <v>108</v>
      </c>
      <c r="B31" s="11" t="s">
        <v>109</v>
      </c>
      <c r="C31" s="11" t="s">
        <v>98</v>
      </c>
      <c r="D31" s="7" t="s">
        <v>25</v>
      </c>
      <c r="E31" s="6" t="s">
        <v>110</v>
      </c>
      <c r="F31" s="6" t="s">
        <v>111</v>
      </c>
      <c r="G31" s="6" t="s">
        <v>112</v>
      </c>
      <c r="H31" s="8" t="s">
        <v>29</v>
      </c>
    </row>
    <row r="32" spans="1:8" ht="54.75" customHeight="1" x14ac:dyDescent="0.3">
      <c r="A32" s="11" t="s">
        <v>113</v>
      </c>
      <c r="B32" s="11" t="s">
        <v>114</v>
      </c>
      <c r="C32" s="11" t="s">
        <v>98</v>
      </c>
      <c r="D32" s="5" t="s">
        <v>12</v>
      </c>
      <c r="E32" s="6" t="s">
        <v>115</v>
      </c>
      <c r="F32" s="6"/>
      <c r="G32" s="6"/>
      <c r="H32" s="6"/>
    </row>
    <row r="33" spans="1:8" ht="54.75" customHeight="1" x14ac:dyDescent="0.3">
      <c r="A33" s="11" t="s">
        <v>116</v>
      </c>
      <c r="B33" s="11" t="s">
        <v>117</v>
      </c>
      <c r="C33" s="11" t="s">
        <v>98</v>
      </c>
      <c r="D33" s="5" t="s">
        <v>12</v>
      </c>
      <c r="E33" s="6" t="s">
        <v>118</v>
      </c>
      <c r="F33" s="6"/>
      <c r="G33" s="6"/>
      <c r="H33" s="6"/>
    </row>
    <row r="34" spans="1:8" ht="54.75" customHeight="1" x14ac:dyDescent="0.3">
      <c r="A34" s="11" t="s">
        <v>119</v>
      </c>
      <c r="B34" s="11" t="s">
        <v>120</v>
      </c>
      <c r="C34" s="11" t="s">
        <v>98</v>
      </c>
      <c r="D34" s="5" t="s">
        <v>12</v>
      </c>
      <c r="E34" s="6" t="s">
        <v>121</v>
      </c>
      <c r="F34" s="6"/>
      <c r="G34" s="6"/>
      <c r="H34" s="6"/>
    </row>
    <row r="35" spans="1:8" ht="54.75" customHeight="1" x14ac:dyDescent="0.3">
      <c r="A35" s="11" t="s">
        <v>122</v>
      </c>
      <c r="B35" s="11" t="s">
        <v>123</v>
      </c>
      <c r="C35" s="11" t="s">
        <v>98</v>
      </c>
      <c r="D35" s="5" t="s">
        <v>12</v>
      </c>
      <c r="E35" s="6" t="s">
        <v>124</v>
      </c>
      <c r="F35" s="6"/>
      <c r="G35" s="6"/>
      <c r="H35" s="6"/>
    </row>
    <row r="36" spans="1:8" ht="54.75" customHeight="1" x14ac:dyDescent="0.3">
      <c r="A36" s="12" t="s">
        <v>125</v>
      </c>
      <c r="B36" s="12" t="s">
        <v>126</v>
      </c>
      <c r="C36" s="12" t="s">
        <v>127</v>
      </c>
      <c r="D36" s="5" t="s">
        <v>12</v>
      </c>
      <c r="E36" s="6" t="s">
        <v>128</v>
      </c>
      <c r="F36" s="6"/>
      <c r="G36" s="6"/>
      <c r="H36" s="6"/>
    </row>
    <row r="37" spans="1:8" ht="54.75" customHeight="1" x14ac:dyDescent="0.3">
      <c r="A37" s="12" t="s">
        <v>129</v>
      </c>
      <c r="B37" s="12" t="s">
        <v>130</v>
      </c>
      <c r="C37" s="12" t="s">
        <v>127</v>
      </c>
      <c r="D37" s="5" t="s">
        <v>12</v>
      </c>
      <c r="E37" s="6" t="s">
        <v>131</v>
      </c>
      <c r="F37" s="6"/>
      <c r="G37" s="6"/>
      <c r="H37" s="6"/>
    </row>
    <row r="38" spans="1:8" ht="54.75" customHeight="1" x14ac:dyDescent="0.3">
      <c r="A38" s="12" t="s">
        <v>132</v>
      </c>
      <c r="B38" s="12" t="s">
        <v>133</v>
      </c>
      <c r="C38" s="12" t="s">
        <v>127</v>
      </c>
      <c r="D38" s="5" t="s">
        <v>12</v>
      </c>
      <c r="E38" s="6" t="s">
        <v>134</v>
      </c>
      <c r="F38" s="6"/>
      <c r="G38" s="6"/>
      <c r="H38" s="6"/>
    </row>
    <row r="39" spans="1:8" ht="54.75" customHeight="1" x14ac:dyDescent="0.3">
      <c r="A39" s="12" t="s">
        <v>135</v>
      </c>
      <c r="B39" s="12" t="s">
        <v>136</v>
      </c>
      <c r="C39" s="12" t="s">
        <v>127</v>
      </c>
      <c r="D39" s="9" t="s">
        <v>32</v>
      </c>
      <c r="E39" s="6" t="s">
        <v>137</v>
      </c>
      <c r="F39" s="6" t="s">
        <v>138</v>
      </c>
      <c r="G39" s="6" t="s">
        <v>139</v>
      </c>
      <c r="H39" s="10" t="s">
        <v>36</v>
      </c>
    </row>
    <row r="40" spans="1:8" ht="54.75" customHeight="1" x14ac:dyDescent="0.3">
      <c r="A40" s="12" t="s">
        <v>140</v>
      </c>
      <c r="B40" s="12" t="s">
        <v>141</v>
      </c>
      <c r="C40" s="12" t="s">
        <v>127</v>
      </c>
      <c r="D40" s="9" t="s">
        <v>32</v>
      </c>
      <c r="E40" s="6" t="s">
        <v>142</v>
      </c>
      <c r="F40" s="6" t="s">
        <v>143</v>
      </c>
      <c r="G40" s="6" t="s">
        <v>144</v>
      </c>
      <c r="H40" s="10" t="s">
        <v>36</v>
      </c>
    </row>
    <row r="41" spans="1:8" ht="54.75" customHeight="1" x14ac:dyDescent="0.3">
      <c r="A41" s="12" t="s">
        <v>145</v>
      </c>
      <c r="B41" s="12" t="s">
        <v>146</v>
      </c>
      <c r="C41" s="12" t="s">
        <v>127</v>
      </c>
      <c r="D41" s="5" t="s">
        <v>12</v>
      </c>
      <c r="E41" s="6" t="s">
        <v>147</v>
      </c>
      <c r="F41" s="6"/>
      <c r="G41" s="6"/>
      <c r="H41" s="6"/>
    </row>
    <row r="42" spans="1:8" ht="54.75" customHeight="1" x14ac:dyDescent="0.3">
      <c r="A42" s="12" t="s">
        <v>148</v>
      </c>
      <c r="B42" s="12" t="s">
        <v>149</v>
      </c>
      <c r="C42" s="12" t="s">
        <v>127</v>
      </c>
      <c r="D42" s="5" t="s">
        <v>12</v>
      </c>
      <c r="E42" s="6" t="s">
        <v>150</v>
      </c>
      <c r="F42" s="6"/>
      <c r="G42" s="6"/>
      <c r="H42" s="6"/>
    </row>
    <row r="43" spans="1:8" ht="54.75" customHeight="1" x14ac:dyDescent="0.3">
      <c r="A43" s="12" t="s">
        <v>151</v>
      </c>
      <c r="B43" s="12" t="s">
        <v>152</v>
      </c>
      <c r="C43" s="12" t="s">
        <v>127</v>
      </c>
      <c r="D43" s="5" t="s">
        <v>12</v>
      </c>
      <c r="E43" s="6" t="s">
        <v>153</v>
      </c>
      <c r="F43" s="6"/>
      <c r="G43" s="6"/>
      <c r="H43" s="6"/>
    </row>
    <row r="44" spans="1:8" ht="54.75" customHeight="1" x14ac:dyDescent="0.3">
      <c r="A44" s="13" t="s">
        <v>154</v>
      </c>
      <c r="B44" s="13" t="s">
        <v>155</v>
      </c>
      <c r="C44" s="13" t="s">
        <v>156</v>
      </c>
      <c r="D44" s="5" t="s">
        <v>12</v>
      </c>
      <c r="E44" s="6" t="s">
        <v>157</v>
      </c>
      <c r="F44" s="6"/>
      <c r="G44" s="6"/>
      <c r="H44" s="6"/>
    </row>
    <row r="45" spans="1:8" ht="54.75" customHeight="1" x14ac:dyDescent="0.3">
      <c r="A45" s="13" t="s">
        <v>158</v>
      </c>
      <c r="B45" s="13" t="s">
        <v>159</v>
      </c>
      <c r="C45" s="13" t="s">
        <v>156</v>
      </c>
      <c r="D45" s="5" t="s">
        <v>12</v>
      </c>
      <c r="E45" s="6" t="s">
        <v>160</v>
      </c>
      <c r="F45" s="6"/>
      <c r="G45" s="6"/>
      <c r="H45" s="6"/>
    </row>
    <row r="46" spans="1:8" ht="54.75" customHeight="1" x14ac:dyDescent="0.3">
      <c r="A46" s="13" t="s">
        <v>161</v>
      </c>
      <c r="B46" s="13" t="s">
        <v>162</v>
      </c>
      <c r="C46" s="13" t="s">
        <v>156</v>
      </c>
      <c r="D46" s="5" t="s">
        <v>12</v>
      </c>
      <c r="E46" s="6" t="s">
        <v>163</v>
      </c>
      <c r="F46" s="6"/>
      <c r="G46" s="6"/>
      <c r="H46" s="6"/>
    </row>
    <row r="47" spans="1:8" ht="54.75" customHeight="1" x14ac:dyDescent="0.3">
      <c r="A47" s="13" t="s">
        <v>164</v>
      </c>
      <c r="B47" s="13" t="s">
        <v>165</v>
      </c>
      <c r="C47" s="13" t="s">
        <v>156</v>
      </c>
      <c r="D47" s="5" t="s">
        <v>12</v>
      </c>
      <c r="E47" s="6" t="s">
        <v>166</v>
      </c>
      <c r="F47" s="6"/>
      <c r="G47" s="6"/>
      <c r="H47" s="6"/>
    </row>
    <row r="48" spans="1:8" ht="54.75" customHeight="1" x14ac:dyDescent="0.3">
      <c r="A48" s="13" t="s">
        <v>167</v>
      </c>
      <c r="B48" s="13" t="s">
        <v>168</v>
      </c>
      <c r="C48" s="13" t="s">
        <v>156</v>
      </c>
      <c r="D48" s="5" t="s">
        <v>12</v>
      </c>
      <c r="E48" s="6" t="s">
        <v>169</v>
      </c>
      <c r="F48" s="6"/>
      <c r="G48" s="6"/>
      <c r="H48" s="6"/>
    </row>
    <row r="49" spans="1:8" ht="54.75" customHeight="1" x14ac:dyDescent="0.3">
      <c r="A49" s="13" t="s">
        <v>170</v>
      </c>
      <c r="B49" s="13" t="s">
        <v>171</v>
      </c>
      <c r="C49" s="13" t="s">
        <v>156</v>
      </c>
      <c r="D49" s="7" t="s">
        <v>25</v>
      </c>
      <c r="E49" s="6" t="s">
        <v>172</v>
      </c>
      <c r="F49" s="6" t="s">
        <v>173</v>
      </c>
      <c r="G49" s="6" t="s">
        <v>174</v>
      </c>
      <c r="H49" s="14" t="s">
        <v>175</v>
      </c>
    </row>
    <row r="50" spans="1:8" ht="54.75" customHeight="1" x14ac:dyDescent="0.3">
      <c r="A50" s="13" t="s">
        <v>176</v>
      </c>
      <c r="B50" s="13" t="s">
        <v>177</v>
      </c>
      <c r="C50" s="13" t="s">
        <v>156</v>
      </c>
      <c r="D50" s="5" t="s">
        <v>12</v>
      </c>
      <c r="E50" s="6" t="s">
        <v>178</v>
      </c>
      <c r="F50" s="6"/>
      <c r="G50" s="6"/>
      <c r="H50" s="6"/>
    </row>
    <row r="51" spans="1:8" ht="54.75" customHeight="1" x14ac:dyDescent="0.3">
      <c r="A51" s="13" t="s">
        <v>179</v>
      </c>
      <c r="B51" s="13" t="s">
        <v>180</v>
      </c>
      <c r="C51" s="13" t="s">
        <v>156</v>
      </c>
      <c r="D51" s="7" t="s">
        <v>25</v>
      </c>
      <c r="E51" s="6" t="s">
        <v>181</v>
      </c>
      <c r="F51" s="6" t="s">
        <v>182</v>
      </c>
      <c r="G51" s="6" t="s">
        <v>183</v>
      </c>
      <c r="H51" s="14" t="s">
        <v>175</v>
      </c>
    </row>
    <row r="52" spans="1:8" ht="54.75" customHeight="1" x14ac:dyDescent="0.3">
      <c r="A52" s="13" t="s">
        <v>184</v>
      </c>
      <c r="B52" s="13" t="s">
        <v>185</v>
      </c>
      <c r="C52" s="13" t="s">
        <v>156</v>
      </c>
      <c r="D52" s="7" t="s">
        <v>25</v>
      </c>
      <c r="E52" s="6" t="s">
        <v>186</v>
      </c>
      <c r="F52" s="6" t="s">
        <v>187</v>
      </c>
      <c r="G52" s="6" t="s">
        <v>188</v>
      </c>
      <c r="H52" s="8" t="s">
        <v>29</v>
      </c>
    </row>
    <row r="53" spans="1:8" ht="54.75" customHeight="1" x14ac:dyDescent="0.3">
      <c r="A53" s="13" t="s">
        <v>189</v>
      </c>
      <c r="B53" s="13" t="s">
        <v>190</v>
      </c>
      <c r="C53" s="13" t="s">
        <v>156</v>
      </c>
      <c r="D53" s="5" t="s">
        <v>12</v>
      </c>
      <c r="E53" s="6" t="s">
        <v>191</v>
      </c>
      <c r="F53" s="6"/>
      <c r="G53" s="6"/>
      <c r="H53" s="6"/>
    </row>
    <row r="54" spans="1:8" ht="54.75" customHeight="1" x14ac:dyDescent="0.3">
      <c r="A54" s="13" t="s">
        <v>192</v>
      </c>
      <c r="B54" s="13" t="s">
        <v>193</v>
      </c>
      <c r="C54" s="13" t="s">
        <v>156</v>
      </c>
      <c r="D54" s="5" t="s">
        <v>12</v>
      </c>
      <c r="E54" s="6" t="s">
        <v>194</v>
      </c>
      <c r="F54" s="6"/>
      <c r="G54" s="6"/>
      <c r="H54" s="6"/>
    </row>
    <row r="55" spans="1:8" ht="54.75" customHeight="1" x14ac:dyDescent="0.3">
      <c r="A55" s="13" t="s">
        <v>195</v>
      </c>
      <c r="B55" s="13" t="s">
        <v>196</v>
      </c>
      <c r="C55" s="13" t="s">
        <v>156</v>
      </c>
      <c r="D55" s="5" t="s">
        <v>12</v>
      </c>
      <c r="E55" s="6" t="s">
        <v>197</v>
      </c>
      <c r="F55" s="6"/>
      <c r="G55" s="6"/>
      <c r="H55" s="6"/>
    </row>
    <row r="56" spans="1:8" ht="54.75" customHeight="1" x14ac:dyDescent="0.3">
      <c r="A56" s="13" t="s">
        <v>198</v>
      </c>
      <c r="B56" s="13" t="s">
        <v>199</v>
      </c>
      <c r="C56" s="13" t="s">
        <v>156</v>
      </c>
      <c r="D56" s="5" t="s">
        <v>12</v>
      </c>
      <c r="E56" s="6" t="s">
        <v>200</v>
      </c>
      <c r="F56" s="6"/>
      <c r="G56" s="6"/>
      <c r="H56" s="6"/>
    </row>
    <row r="57" spans="1:8" ht="54.75" customHeight="1" x14ac:dyDescent="0.3">
      <c r="A57" s="13" t="s">
        <v>201</v>
      </c>
      <c r="B57" s="13" t="s">
        <v>202</v>
      </c>
      <c r="C57" s="13" t="s">
        <v>156</v>
      </c>
      <c r="D57" s="5" t="s">
        <v>12</v>
      </c>
      <c r="E57" s="6" t="s">
        <v>203</v>
      </c>
      <c r="F57" s="6"/>
      <c r="G57" s="6"/>
      <c r="H57" s="6"/>
    </row>
    <row r="58" spans="1:8" ht="54.75" customHeight="1" x14ac:dyDescent="0.3">
      <c r="A58" s="13" t="s">
        <v>204</v>
      </c>
      <c r="B58" s="13" t="s">
        <v>205</v>
      </c>
      <c r="C58" s="13" t="s">
        <v>156</v>
      </c>
      <c r="D58" s="7" t="s">
        <v>25</v>
      </c>
      <c r="E58" s="6" t="s">
        <v>206</v>
      </c>
      <c r="F58" s="6" t="s">
        <v>207</v>
      </c>
      <c r="G58" s="6" t="s">
        <v>208</v>
      </c>
      <c r="H58" s="8" t="s">
        <v>29</v>
      </c>
    </row>
    <row r="59" spans="1:8" ht="54.75" customHeight="1" x14ac:dyDescent="0.3">
      <c r="A59" s="13" t="s">
        <v>209</v>
      </c>
      <c r="B59" s="13" t="s">
        <v>210</v>
      </c>
      <c r="C59" s="13" t="s">
        <v>156</v>
      </c>
      <c r="D59" s="5" t="s">
        <v>12</v>
      </c>
      <c r="E59" s="6" t="s">
        <v>211</v>
      </c>
      <c r="F59" s="6"/>
      <c r="G59" s="6"/>
      <c r="H59" s="6"/>
    </row>
    <row r="60" spans="1:8" ht="54.75" customHeight="1" x14ac:dyDescent="0.3">
      <c r="A60" s="13" t="s">
        <v>212</v>
      </c>
      <c r="B60" s="13" t="s">
        <v>213</v>
      </c>
      <c r="C60" s="13" t="s">
        <v>156</v>
      </c>
      <c r="D60" s="5" t="s">
        <v>12</v>
      </c>
      <c r="E60" s="6" t="s">
        <v>214</v>
      </c>
      <c r="F60" s="6"/>
      <c r="G60" s="6"/>
      <c r="H60" s="6"/>
    </row>
    <row r="61" spans="1:8" ht="54.75" customHeight="1" x14ac:dyDescent="0.3">
      <c r="A61" s="13" t="s">
        <v>215</v>
      </c>
      <c r="B61" s="13" t="s">
        <v>216</v>
      </c>
      <c r="C61" s="13" t="s">
        <v>156</v>
      </c>
      <c r="D61" s="5" t="s">
        <v>12</v>
      </c>
      <c r="E61" s="6" t="s">
        <v>217</v>
      </c>
      <c r="F61" s="6"/>
      <c r="G61" s="6"/>
      <c r="H61" s="6"/>
    </row>
    <row r="62" spans="1:8" ht="54.75" customHeight="1" x14ac:dyDescent="0.3">
      <c r="A62" s="13" t="s">
        <v>218</v>
      </c>
      <c r="B62" s="13" t="s">
        <v>219</v>
      </c>
      <c r="C62" s="13" t="s">
        <v>156</v>
      </c>
      <c r="D62" s="7" t="s">
        <v>25</v>
      </c>
      <c r="E62" s="6" t="s">
        <v>220</v>
      </c>
      <c r="F62" s="6" t="s">
        <v>221</v>
      </c>
      <c r="G62" s="6" t="s">
        <v>222</v>
      </c>
      <c r="H62" s="8" t="s">
        <v>29</v>
      </c>
    </row>
    <row r="63" spans="1:8" ht="54.75" customHeight="1" x14ac:dyDescent="0.3">
      <c r="A63" s="13" t="s">
        <v>223</v>
      </c>
      <c r="B63" s="13" t="s">
        <v>224</v>
      </c>
      <c r="C63" s="13" t="s">
        <v>156</v>
      </c>
      <c r="D63" s="5" t="s">
        <v>12</v>
      </c>
      <c r="E63" s="6" t="s">
        <v>225</v>
      </c>
      <c r="F63" s="6"/>
      <c r="G63" s="6"/>
      <c r="H63" s="6"/>
    </row>
    <row r="64" spans="1:8" ht="54.75" customHeight="1" x14ac:dyDescent="0.3">
      <c r="A64" s="13" t="s">
        <v>226</v>
      </c>
      <c r="B64" s="13" t="s">
        <v>227</v>
      </c>
      <c r="C64" s="13" t="s">
        <v>156</v>
      </c>
      <c r="D64" s="5" t="s">
        <v>12</v>
      </c>
      <c r="E64" s="6" t="s">
        <v>228</v>
      </c>
      <c r="F64" s="6"/>
      <c r="G64" s="6"/>
      <c r="H64" s="6"/>
    </row>
    <row r="65" spans="1:8" ht="54.75" customHeight="1" x14ac:dyDescent="0.3">
      <c r="A65" s="13" t="s">
        <v>229</v>
      </c>
      <c r="B65" s="13" t="s">
        <v>230</v>
      </c>
      <c r="C65" s="13" t="s">
        <v>156</v>
      </c>
      <c r="D65" s="9" t="s">
        <v>32</v>
      </c>
      <c r="E65" s="6" t="s">
        <v>231</v>
      </c>
      <c r="F65" s="6" t="s">
        <v>232</v>
      </c>
      <c r="G65" s="6" t="s">
        <v>233</v>
      </c>
      <c r="H65" s="8" t="s">
        <v>29</v>
      </c>
    </row>
  </sheetData>
  <autoFilter ref="A4:H65" xr:uid="{00000000-0009-0000-0000-000000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Normal="100" workbookViewId="0"/>
  </sheetViews>
  <sheetFormatPr defaultColWidth="8.6640625" defaultRowHeight="14.4" x14ac:dyDescent="0.3"/>
  <cols>
    <col min="1" max="1" width="28" customWidth="1"/>
    <col min="2" max="3" width="14" customWidth="1"/>
  </cols>
  <sheetData>
    <row r="1" spans="1:4" ht="30" customHeight="1" x14ac:dyDescent="0.3">
      <c r="A1" s="2" t="s">
        <v>234</v>
      </c>
      <c r="B1" s="2"/>
      <c r="C1" s="2"/>
      <c r="D1" s="2"/>
    </row>
    <row r="3" spans="1:4" ht="15" customHeight="1" x14ac:dyDescent="0.3">
      <c r="A3" s="15" t="s">
        <v>235</v>
      </c>
      <c r="B3" s="15" t="s">
        <v>236</v>
      </c>
      <c r="C3" s="15" t="s">
        <v>237</v>
      </c>
    </row>
    <row r="4" spans="1:4" ht="21.75" customHeight="1" x14ac:dyDescent="0.3">
      <c r="A4" s="16" t="s">
        <v>238</v>
      </c>
      <c r="B4" s="17">
        <f>COUNTA('Control Mapping'!A5:A62)</f>
        <v>58</v>
      </c>
      <c r="C4" s="18"/>
    </row>
    <row r="5" spans="1:4" ht="21.75" customHeight="1" x14ac:dyDescent="0.3">
      <c r="A5" s="19" t="s">
        <v>12</v>
      </c>
      <c r="B5" s="20">
        <f>COUNTIF('Control Mapping'!D5:D62,"*Compliant*")-COUNTIF('Control Mapping'!D5:D62,"*Non*")-COUNTIF('Control Mapping'!D5:D62,"*Partial*")</f>
        <v>43</v>
      </c>
      <c r="C5" s="21">
        <f>IF(B4&gt;0,B5/B4,0)</f>
        <v>0.74137931034482762</v>
      </c>
    </row>
    <row r="6" spans="1:4" ht="21.75" customHeight="1" x14ac:dyDescent="0.3">
      <c r="A6" s="22" t="s">
        <v>32</v>
      </c>
      <c r="B6" s="23">
        <f>COUNTIF('Control Mapping'!D5:D62,"*Partial*")</f>
        <v>7</v>
      </c>
      <c r="C6" s="24">
        <f>IF(B4&gt;0,B6/B4,0)</f>
        <v>0.1206896551724138</v>
      </c>
    </row>
    <row r="7" spans="1:4" ht="21.75" customHeight="1" x14ac:dyDescent="0.3">
      <c r="A7" s="25" t="s">
        <v>25</v>
      </c>
      <c r="B7" s="26">
        <f>COUNTIF('Control Mapping'!D5:D62,"*Non*")</f>
        <v>8</v>
      </c>
      <c r="C7" s="27">
        <f>IF(B4&gt;0,B7/B4,0)</f>
        <v>0.13793103448275862</v>
      </c>
    </row>
    <row r="8" spans="1:4" ht="21.75" customHeight="1" x14ac:dyDescent="0.3">
      <c r="A8" s="16" t="s">
        <v>239</v>
      </c>
      <c r="B8" s="17">
        <f>COUNTIF('Control Mapping'!H5:H62,"Critical")</f>
        <v>2</v>
      </c>
      <c r="C8" s="18"/>
    </row>
    <row r="9" spans="1:4" ht="21.75" customHeight="1" x14ac:dyDescent="0.3">
      <c r="A9" s="16" t="s">
        <v>240</v>
      </c>
      <c r="B9" s="17">
        <f>COUNTIF('Control Mapping'!H5:H62,"High")</f>
        <v>8</v>
      </c>
      <c r="C9" s="18"/>
    </row>
    <row r="10" spans="1:4" ht="21.75" customHeight="1" x14ac:dyDescent="0.3">
      <c r="A10" s="16" t="s">
        <v>241</v>
      </c>
      <c r="B10" s="17">
        <f>COUNTIF('Control Mapping'!H5:H62,"Medium")</f>
        <v>5</v>
      </c>
      <c r="C10" s="18"/>
    </row>
    <row r="12" spans="1:4" ht="27.75" customHeight="1" x14ac:dyDescent="0.3">
      <c r="A12" s="16" t="s">
        <v>242</v>
      </c>
      <c r="B12" s="28">
        <f>IF(B4&gt;0,B5/B4,0)</f>
        <v>0.74137931034482762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 Mapping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BHUVANA KS</cp:lastModifiedBy>
  <cp:revision>0</cp:revision>
  <dcterms:created xsi:type="dcterms:W3CDTF">2026-07-07T20:28:33Z</dcterms:created>
  <dcterms:modified xsi:type="dcterms:W3CDTF">2026-07-11T17:47:51Z</dcterms:modified>
  <dc:language>en-US</dc:language>
</cp:coreProperties>
</file>