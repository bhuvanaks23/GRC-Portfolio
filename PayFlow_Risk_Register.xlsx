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sk Register" sheetId="1" state="visible" r:id="rId3"/>
    <sheet name="Heat Map" sheetId="2" state="visible" r:id="rId4"/>
    <sheet name="Summary" sheetId="3" state="visible" r:id="rId5"/>
  </sheets>
  <definedNames>
    <definedName function="false" hidden="true" localSheetId="0" name="_xlnm._FilterDatabase" vbProcedure="false">'Risk Register'!$A$4:$L$30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<sst xmlns="http://schemas.openxmlformats.org/spreadsheetml/2006/main" count="309" uniqueCount="210">
  <si>
    <t xml:space="preserve">PayFlow Ltd — Information Security Risk Register</t>
  </si>
  <si>
    <t xml:space="preserve">Prepared by: Bhuvana Kodathi Srinivas  |  Version: 1.0  |  Date: June 2026  |  Framework: ISO 27001:2022 (Clause 6.1.2 — Risk Assessment)</t>
  </si>
  <si>
    <t xml:space="preserve">Risk ID</t>
  </si>
  <si>
    <t xml:space="preserve">Category</t>
  </si>
  <si>
    <t xml:space="preserve">Risk Description</t>
  </si>
  <si>
    <t xml:space="preserve">Threat Source</t>
  </si>
  <si>
    <t xml:space="preserve">Likelihood
(1-5)</t>
  </si>
  <si>
    <t xml:space="preserve">Impact
(1-5)</t>
  </si>
  <si>
    <t xml:space="preserve">Risk Score
(L x I)</t>
  </si>
  <si>
    <t xml:space="preserve">Risk Level</t>
  </si>
  <si>
    <t xml:space="preserve">Current Controls</t>
  </si>
  <si>
    <t xml:space="preserve">Risk Owner</t>
  </si>
  <si>
    <t xml:space="preserve">Remediation Action</t>
  </si>
  <si>
    <t xml:space="preserve">Target Date</t>
  </si>
  <si>
    <t xml:space="preserve">R-001</t>
  </si>
  <si>
    <t xml:space="preserve">Cybersecurity</t>
  </si>
  <si>
    <t xml:space="preserve">Ransomware attack encrypting payment processing systems</t>
  </si>
  <si>
    <t xml:space="preserve">External threat actor</t>
  </si>
  <si>
    <t xml:space="preserve">Critical</t>
  </si>
  <si>
    <t xml:space="preserve">Insufficient endpoint protection and backup testing</t>
  </si>
  <si>
    <t xml:space="preserve">IT Department</t>
  </si>
  <si>
    <t xml:space="preserve">Deploy EDR solution; test backup restore monthly; implement network segmentation</t>
  </si>
  <si>
    <t xml:space="preserve">Q1 2026</t>
  </si>
  <si>
    <t xml:space="preserve">R-002</t>
  </si>
  <si>
    <t xml:space="preserve">Phishing attack leading to credential compromise</t>
  </si>
  <si>
    <t xml:space="preserve">External threat actor / social engineering</t>
  </si>
  <si>
    <t xml:space="preserve">No email filtering or security awareness training in place</t>
  </si>
  <si>
    <t xml:space="preserve">Deploy email filtering; launch phishing simulation programme; enforce MFA on all accounts</t>
  </si>
  <si>
    <t xml:space="preserve">R-003</t>
  </si>
  <si>
    <t xml:space="preserve">SQL injection attack on payment processing API</t>
  </si>
  <si>
    <t xml:space="preserve">External threat actor / automated scanning</t>
  </si>
  <si>
    <t xml:space="preserve">No SAST or penetration testing conducted to date</t>
  </si>
  <si>
    <t xml:space="preserve">Engineering Lead</t>
  </si>
  <si>
    <t xml:space="preserve">Conduct annual penetration test; implement SAST in CI/CD pipeline; enforce OWASP Top 10 compliance</t>
  </si>
  <si>
    <t xml:space="preserve">R-004</t>
  </si>
  <si>
    <t xml:space="preserve">Unauthorised access to customer payment data via stolen credentials</t>
  </si>
  <si>
    <t xml:space="preserve">External or insider threat</t>
  </si>
  <si>
    <t xml:space="preserve">MFA not enforced on all systems; access reviews not conducted quarterly</t>
  </si>
  <si>
    <t xml:space="preserve">Enforce MFA on all systems; conduct quarterly access reviews; implement RBAC</t>
  </si>
  <si>
    <t xml:space="preserve">R-005</t>
  </si>
  <si>
    <t xml:space="preserve">DDoS attack causing platform unavailability</t>
  </si>
  <si>
    <t xml:space="preserve">High</t>
  </si>
  <si>
    <t xml:space="preserve">No DDoS mitigation service in place; single-region AWS deployment</t>
  </si>
  <si>
    <t xml:space="preserve">Implement AWS Shield Standard; configure auto-scaling; deploy to multiple AWS availability zones</t>
  </si>
  <si>
    <t xml:space="preserve">Q2 2026</t>
  </si>
  <si>
    <t xml:space="preserve">R-006</t>
  </si>
  <si>
    <t xml:space="preserve">Operational</t>
  </si>
  <si>
    <t xml:space="preserve">System outage due to single point of failure in AWS infrastructure</t>
  </si>
  <si>
    <t xml:space="preserve">Infrastructure failure</t>
  </si>
  <si>
    <t xml:space="preserve">No multi-region deployment; RTO and RPO not formally defined</t>
  </si>
  <si>
    <t xml:space="preserve">Deploy to multiple AWS availability zones; define and test RTO (4hrs) and RPO (24hrs)</t>
  </si>
  <si>
    <t xml:space="preserve">R-007</t>
  </si>
  <si>
    <t xml:space="preserve">Data loss due to backup failure</t>
  </si>
  <si>
    <t xml:space="preserve">Technical failure</t>
  </si>
  <si>
    <t xml:space="preserve">Backups not tested regularly; no off-site backup storage</t>
  </si>
  <si>
    <t xml:space="preserve">Implement automated daily backups to separate AWS region; test restore monthly</t>
  </si>
  <si>
    <t xml:space="preserve">R-008</t>
  </si>
  <si>
    <t xml:space="preserve">Unauthorised system change causing platform instability</t>
  </si>
  <si>
    <t xml:space="preserve">Internal human error</t>
  </si>
  <si>
    <t xml:space="preserve">No formal change management process in place</t>
  </si>
  <si>
    <t xml:space="preserve">Implement formal change management procedure with approval sign-off and rollback plans</t>
  </si>
  <si>
    <t xml:space="preserve">R-009</t>
  </si>
  <si>
    <t xml:space="preserve">Payment processing errors due to software defect in production</t>
  </si>
  <si>
    <t xml:space="preserve">Development error</t>
  </si>
  <si>
    <t xml:space="preserve">No separation between development and production environments</t>
  </si>
  <si>
    <t xml:space="preserve">Enforce strict environment separation; implement pre-production testing gate before all deployments</t>
  </si>
  <si>
    <t xml:space="preserve">R-010</t>
  </si>
  <si>
    <t xml:space="preserve">Compliance &amp; Regulatory</t>
  </si>
  <si>
    <t xml:space="preserve">GDPR enforcement action due to inadequate data protection practices</t>
  </si>
  <si>
    <t xml:space="preserve">Regulatory / Data Protection Commission</t>
  </si>
  <si>
    <t xml:space="preserve">No formal GDPR compliance programme; DPO not yet appointed</t>
  </si>
  <si>
    <t xml:space="preserve">Legal / DPO</t>
  </si>
  <si>
    <t xml:space="preserve">Appoint a Data Protection Officer; conduct GDPR gap analysis; implement data protection policies</t>
  </si>
  <si>
    <t xml:space="preserve">R-011</t>
  </si>
  <si>
    <t xml:space="preserve">PCI-DSS non-compliance leading to loss of card processing rights</t>
  </si>
  <si>
    <t xml:space="preserve">Regulatory / Payment card schemes</t>
  </si>
  <si>
    <t xml:space="preserve">PCI-DSS assessment not yet conducted; cardholder data environment not formally scoped</t>
  </si>
  <si>
    <t xml:space="preserve">IT Department / Legal</t>
  </si>
  <si>
    <t xml:space="preserve">Engage a Qualified Security Assessor (QSA); scope cardholder data environment; remediate findings</t>
  </si>
  <si>
    <t xml:space="preserve">R-012</t>
  </si>
  <si>
    <t xml:space="preserve">PSD2 non-compliance — failure to implement Strong Customer Authentication (SCA)</t>
  </si>
  <si>
    <t xml:space="preserve">Regulatory / Central Bank of Ireland</t>
  </si>
  <si>
    <t xml:space="preserve">SCA not fully implemented across all payment flows</t>
  </si>
  <si>
    <t xml:space="preserve">Implement SCA across all payment flows; engage legal counsel to verify PSD2 compliance</t>
  </si>
  <si>
    <t xml:space="preserve">R-013</t>
  </si>
  <si>
    <t xml:space="preserve">Failure to notify the Data Protection Commission within 72 hours of a data breach</t>
  </si>
  <si>
    <t xml:space="preserve">Regulatory / GDPR Article 33</t>
  </si>
  <si>
    <t xml:space="preserve">No incident response plan or breach notification procedure in place</t>
  </si>
  <si>
    <t xml:space="preserve">Legal / ISO Officer</t>
  </si>
  <si>
    <t xml:space="preserve">Develop and test an Incident Response Plan with a documented 72-hour breach notification procedure</t>
  </si>
  <si>
    <t xml:space="preserve">R-014</t>
  </si>
  <si>
    <t xml:space="preserve">Third-Party / Vendor</t>
  </si>
  <si>
    <t xml:space="preserve">Third-party payment processor suffers a data breach exposing PayFlow customer data</t>
  </si>
  <si>
    <t xml:space="preserve">Vendor security failure</t>
  </si>
  <si>
    <t xml:space="preserve">No vendor security assessments conducted; no security clauses in contracts</t>
  </si>
  <si>
    <t xml:space="preserve">Conduct vendor risk assessments; include security clauses and breach notification requirements in all contracts</t>
  </si>
  <si>
    <t xml:space="preserve">R-015</t>
  </si>
  <si>
    <t xml:space="preserve">AWS service outage causing platform unavailability</t>
  </si>
  <si>
    <t xml:space="preserve">Cloud provider failure</t>
  </si>
  <si>
    <t xml:space="preserve">No multi-region failover; over-reliance on single AWS region</t>
  </si>
  <si>
    <t xml:space="preserve">Configure multi-region AWS deployment; implement automated failover; review AWS SLA</t>
  </si>
  <si>
    <t xml:space="preserve">R-016</t>
  </si>
  <si>
    <t xml:space="preserve">Third-party software library vulnerability exploited in PayFlow application</t>
  </si>
  <si>
    <t xml:space="preserve">Supply chain attack</t>
  </si>
  <si>
    <t xml:space="preserve">No software composition analysis (SCA) conducted on third-party libraries</t>
  </si>
  <si>
    <t xml:space="preserve">Implement SCA tooling in CI/CD pipeline; review and update all third-party dependencies monthly</t>
  </si>
  <si>
    <t xml:space="preserve">R-017</t>
  </si>
  <si>
    <t xml:space="preserve">Subcontractor accesses PayFlow customer data without authorisation</t>
  </si>
  <si>
    <t xml:space="preserve">Vendor / insider threat</t>
  </si>
  <si>
    <t xml:space="preserve">No restrictions on subcontractor data access; no NDAs in place</t>
  </si>
  <si>
    <t xml:space="preserve">Legal</t>
  </si>
  <si>
    <t xml:space="preserve">Implement subcontractor access controls; require NDAs before data access; conduct annual vendor reviews</t>
  </si>
  <si>
    <t xml:space="preserve">R-018</t>
  </si>
  <si>
    <t xml:space="preserve">Physical &amp; Environmental</t>
  </si>
  <si>
    <t xml:space="preserve">Theft of employee laptop containing sensitive customer data</t>
  </si>
  <si>
    <t xml:space="preserve">Physical theft</t>
  </si>
  <si>
    <t xml:space="preserve">Device encryption not enforced on all laptops; no MDM in place</t>
  </si>
  <si>
    <t xml:space="preserve">Enforce full disk encryption on all devices; deploy MDM with remote wipe capability</t>
  </si>
  <si>
    <t xml:space="preserve">R-019</t>
  </si>
  <si>
    <t xml:space="preserve">Office flood or fire causing loss of on-site equipment and data</t>
  </si>
  <si>
    <t xml:space="preserve">Environmental hazard</t>
  </si>
  <si>
    <t xml:space="preserve">No business continuity plan; no off-site data storage</t>
  </si>
  <si>
    <t xml:space="preserve">IT Department / Facilities</t>
  </si>
  <si>
    <t xml:space="preserve">Develop Business Continuity Plan; ensure all data stored in AWS with daily off-site backups</t>
  </si>
  <si>
    <t xml:space="preserve">R-020</t>
  </si>
  <si>
    <t xml:space="preserve">Unauthorised physical access to PayFlow office gaining access to systems</t>
  </si>
  <si>
    <t xml:space="preserve">Physical security breach</t>
  </si>
  <si>
    <t xml:space="preserve">No key card access control; visitor log not maintained</t>
  </si>
  <si>
    <t xml:space="preserve">Facilities Manager</t>
  </si>
  <si>
    <t xml:space="preserve">Implement key card access control; enforce visitor sign-in policy; install CCTV at entry points</t>
  </si>
  <si>
    <t xml:space="preserve">R-021</t>
  </si>
  <si>
    <t xml:space="preserve">Financial</t>
  </si>
  <si>
    <t xml:space="preserve">Payment fraud resulting in significant financial loss to PayFlow or its merchants</t>
  </si>
  <si>
    <t xml:space="preserve">Fraudulent transactions / external threat</t>
  </si>
  <si>
    <t xml:space="preserve">No fraud detection system in place; no transaction monitoring</t>
  </si>
  <si>
    <t xml:space="preserve">IT Department / Finance</t>
  </si>
  <si>
    <t xml:space="preserve">Implement real-time transaction monitoring and fraud detection; define chargeback management procedures</t>
  </si>
  <si>
    <t xml:space="preserve">R-022</t>
  </si>
  <si>
    <t xml:space="preserve">Insufficient cyber insurance coverage leaving PayFlow exposed to breach costs</t>
  </si>
  <si>
    <t xml:space="preserve">Financial planning gap</t>
  </si>
  <si>
    <t xml:space="preserve">No cyber insurance policy in place</t>
  </si>
  <si>
    <t xml:space="preserve">Finance Director</t>
  </si>
  <si>
    <t xml:space="preserve">Obtain cyber insurance policy covering data breach, ransomware, and business interruption costs</t>
  </si>
  <si>
    <t xml:space="preserve">R-023</t>
  </si>
  <si>
    <t xml:space="preserve">Security budget constraints limiting ability to implement critical controls</t>
  </si>
  <si>
    <t xml:space="preserve">Internal financial risk</t>
  </si>
  <si>
    <t xml:space="preserve">Security budget not formally allocated; controls deprioritised against product development</t>
  </si>
  <si>
    <t xml:space="preserve">CEO / Finance Director</t>
  </si>
  <si>
    <t xml:space="preserve">Formally allocate annual information security budget; present risk-based business case to board</t>
  </si>
  <si>
    <t xml:space="preserve">R-024</t>
  </si>
  <si>
    <t xml:space="preserve">People / Human</t>
  </si>
  <si>
    <t xml:space="preserve">Key person dependency — critical security knowledge held by single staff member</t>
  </si>
  <si>
    <t xml:space="preserve">Human / organisational risk</t>
  </si>
  <si>
    <t xml:space="preserve">No documented security procedures; knowledge not transferred across team</t>
  </si>
  <si>
    <t xml:space="preserve">ISO Officer / HR</t>
  </si>
  <si>
    <t xml:space="preserve">Document all security procedures; implement cross-training programme; maintain succession plan</t>
  </si>
  <si>
    <t xml:space="preserve">R-025</t>
  </si>
  <si>
    <t xml:space="preserve">Insider threat — disgruntled employee deliberately exfiltrates customer payment data</t>
  </si>
  <si>
    <t xml:space="preserve">Malicious insider</t>
  </si>
  <si>
    <t xml:space="preserve">No DLP controls; no user behaviour monitoring; access reviews not conducted</t>
  </si>
  <si>
    <t xml:space="preserve">IT Department / HR</t>
  </si>
  <si>
    <t xml:space="preserve">Implement DLP tooling; conduct quarterly access reviews; monitor privileged user activity</t>
  </si>
  <si>
    <t xml:space="preserve">R-026</t>
  </si>
  <si>
    <t xml:space="preserve">Human error leading to accidental disclosure of customer data</t>
  </si>
  <si>
    <t xml:space="preserve">Unintentional insider threat</t>
  </si>
  <si>
    <t xml:space="preserve">No data handling training; no data classification policy implemented</t>
  </si>
  <si>
    <t xml:space="preserve">ISO Officer</t>
  </si>
  <si>
    <t xml:space="preserve">Implement data classification policy; deliver mandatory data handling training to all staff</t>
  </si>
  <si>
    <t xml:space="preserve">PayFlow Ltd — Risk Heat Map (Likelihood vs Impact)</t>
  </si>
  <si>
    <t xml:space="preserve">Risk Level Legend</t>
  </si>
  <si>
    <t xml:space="preserve">LIKELIHOOD vs IMPACT HEAT MAP</t>
  </si>
  <si>
    <t xml:space="preserve">Critical (15-25)</t>
  </si>
  <si>
    <t xml:space="preserve">Impact 1
Negligible</t>
  </si>
  <si>
    <t xml:space="preserve">Impact 2
Minor</t>
  </si>
  <si>
    <t xml:space="preserve">Impact 3
Moderate</t>
  </si>
  <si>
    <t xml:space="preserve">Impact 4
Major</t>
  </si>
  <si>
    <t xml:space="preserve">Impact 5
Catastrophic</t>
  </si>
  <si>
    <t xml:space="preserve">High (8-14)</t>
  </si>
  <si>
    <t xml:space="preserve">Likelihood 5
Almost Certain</t>
  </si>
  <si>
    <t xml:space="preserve">5</t>
  </si>
  <si>
    <t xml:space="preserve">10</t>
  </si>
  <si>
    <t xml:space="preserve">15</t>
  </si>
  <si>
    <t xml:space="preserve">20
R-002</t>
  </si>
  <si>
    <t xml:space="preserve">25
R-001</t>
  </si>
  <si>
    <t xml:space="preserve">Medium (4-7)</t>
  </si>
  <si>
    <t xml:space="preserve">Likelihood 4
Likely</t>
  </si>
  <si>
    <t xml:space="preserve">4</t>
  </si>
  <si>
    <t xml:space="preserve">8</t>
  </si>
  <si>
    <t xml:space="preserve">12</t>
  </si>
  <si>
    <t xml:space="preserve">16
R-016, R-024, R-026</t>
  </si>
  <si>
    <t xml:space="preserve">20
R-003, R-004, R-010, R-011, R-014, R-021</t>
  </si>
  <si>
    <t xml:space="preserve">Low (1-3)</t>
  </si>
  <si>
    <t xml:space="preserve">Likelihood 3
Possible</t>
  </si>
  <si>
    <t xml:space="preserve">3</t>
  </si>
  <si>
    <t xml:space="preserve">6</t>
  </si>
  <si>
    <t xml:space="preserve">9</t>
  </si>
  <si>
    <t xml:space="preserve">12
R-005, R-008, R-009, R-013, R-017, R-018, R-022, R-023</t>
  </si>
  <si>
    <t xml:space="preserve">15
R-006, R-007, R-012, R-015, R-025</t>
  </si>
  <si>
    <t xml:space="preserve">Likelihood 2
Unlikely</t>
  </si>
  <si>
    <t xml:space="preserve">2</t>
  </si>
  <si>
    <t xml:space="preserve">8
R-019, R-020</t>
  </si>
  <si>
    <t xml:space="preserve">Likelihood 1
Rare</t>
  </si>
  <si>
    <t xml:space="preserve">1</t>
  </si>
  <si>
    <t xml:space="preserve">PayFlow Ltd — Risk Summary Dashboard</t>
  </si>
  <si>
    <t xml:space="preserve">Risk Level Summary</t>
  </si>
  <si>
    <t xml:space="preserve">Count</t>
  </si>
  <si>
    <t xml:space="preserve">Medium</t>
  </si>
  <si>
    <t xml:space="preserve">Low</t>
  </si>
  <si>
    <t xml:space="preserve">Total Risks</t>
  </si>
  <si>
    <t xml:space="preserve">Risks by Category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</si>
</sst>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2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color rgb="FF1F3864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color rgb="FF1A1A1A"/>
      <name val="Arial"/>
      <family val="0"/>
      <charset val="1"/>
    </font>
    <font>
      <b val="true"/>
      <sz val="9"/>
      <color rgb="FF1A1A1A"/>
      <name val="Arial"/>
      <family val="0"/>
      <charset val="1"/>
    </font>
    <font>
      <b val="true"/>
      <sz val="9"/>
      <color rgb="FFC00000"/>
      <name val="Arial"/>
      <family val="0"/>
      <charset val="1"/>
    </font>
    <font>
      <b val="true"/>
      <sz val="9"/>
      <color rgb="FF7D6608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b val="true"/>
      <sz val="11"/>
      <color rgb="FF1F3864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10"/>
      <color rgb="FF7D6608"/>
      <name val="Arial"/>
      <family val="0"/>
      <charset val="1"/>
    </font>
    <font>
      <b val="true"/>
      <sz val="8"/>
      <color rgb="FF5C4A00"/>
      <name val="Arial"/>
      <family val="0"/>
      <charset val="1"/>
    </font>
    <font>
      <b val="true"/>
      <sz val="8"/>
      <color rgb="FF7D6608"/>
      <name val="Arial"/>
      <family val="0"/>
      <charset val="1"/>
    </font>
    <font>
      <b val="true"/>
      <sz val="8"/>
      <color rgb="FFC00000"/>
      <name val="Arial"/>
      <family val="0"/>
      <charset val="1"/>
    </font>
    <font>
      <b val="true"/>
      <sz val="10"/>
      <color rgb="FF5C4A00"/>
      <name val="Arial"/>
      <family val="0"/>
      <charset val="1"/>
    </font>
    <font>
      <b val="true"/>
      <sz val="10"/>
      <color rgb="FF375623"/>
      <name val="Arial"/>
      <family val="0"/>
      <charset val="1"/>
    </font>
    <font>
      <b val="true"/>
      <sz val="8"/>
      <color rgb="FF375623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</fonts>
  <fills count="16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DEEAF1"/>
        <bgColor rgb="FFD6EAF8"/>
      </patternFill>
    </fill>
    <fill>
      <patternFill patternType="solid">
        <fgColor rgb="FFD6E4F0"/>
        <bgColor rgb="FFD6EAF8"/>
      </patternFill>
    </fill>
    <fill>
      <patternFill patternType="solid">
        <fgColor rgb="FFFCE4D6"/>
        <bgColor rgb="FFFDEBD0"/>
      </patternFill>
    </fill>
    <fill>
      <patternFill patternType="solid">
        <fgColor rgb="FFFFF2CC"/>
        <bgColor rgb="FFFDEBD0"/>
      </patternFill>
    </fill>
    <fill>
      <patternFill patternType="solid">
        <fgColor rgb="FFD5F5E3"/>
        <bgColor rgb="FFE2EFDA"/>
      </patternFill>
    </fill>
    <fill>
      <patternFill patternType="solid">
        <fgColor rgb="FFFAD7A0"/>
        <bgColor rgb="FFFCE4D6"/>
      </patternFill>
    </fill>
    <fill>
      <patternFill patternType="solid">
        <fgColor rgb="FFE8DAEF"/>
        <bgColor rgb="FFD6E4F0"/>
      </patternFill>
    </fill>
    <fill>
      <patternFill patternType="solid">
        <fgColor rgb="FFFDEBD0"/>
        <bgColor rgb="FFFFF2CC"/>
      </patternFill>
    </fill>
    <fill>
      <patternFill patternType="solid">
        <fgColor rgb="FFD6EAF8"/>
        <bgColor rgb="FFDEEAF1"/>
      </patternFill>
    </fill>
    <fill>
      <patternFill patternType="solid">
        <fgColor rgb="FFFDEDEC"/>
        <bgColor rgb="FFF2F2F2"/>
      </patternFill>
    </fill>
    <fill>
      <patternFill patternType="solid">
        <fgColor rgb="FFFFFFE0"/>
        <bgColor rgb="FFFFFFFF"/>
      </patternFill>
    </fill>
    <fill>
      <patternFill patternType="solid">
        <fgColor rgb="FFE2EFDA"/>
        <bgColor rgb="FFDEEAF1"/>
      </patternFill>
    </fill>
    <fill>
      <patternFill patternType="solid">
        <fgColor rgb="FFF2F2F2"/>
        <bgColor rgb="FFFDEDE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9" fillId="5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1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1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3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5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1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0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1" fillId="1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22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23" fillId="1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3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24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4" fillId="7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8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9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1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24" fillId="1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5">
    <dxf>
      <fill>
        <patternFill patternType="solid">
          <fgColor rgb="FF1F3864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D6E4F0"/>
          <bgColor rgb="FF000000"/>
        </patternFill>
      </fill>
    </dxf>
    <dxf>
      <fill>
        <patternFill patternType="solid">
          <fgColor rgb="FFD6EAF8"/>
          <bgColor rgb="FF000000"/>
        </patternFill>
      </fill>
    </dxf>
    <dxf>
      <fill>
        <patternFill patternType="solid">
          <fgColor rgb="FFE8DAEF"/>
          <bgColor rgb="FF000000"/>
        </patternFill>
      </fill>
    </dxf>
    <dxf>
      <fill>
        <patternFill patternType="solid">
          <fgColor rgb="FFFAD7A0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FDEDEC"/>
          <bgColor rgb="FF000000"/>
        </patternFill>
      </fill>
    </dxf>
    <dxf>
      <fill>
        <patternFill patternType="solid">
          <fgColor rgb="FF1A1A1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7D6608"/>
          <bgColor rgb="FF000000"/>
        </patternFill>
      </fill>
    </dxf>
    <dxf>
      <fill>
        <patternFill patternType="solid">
          <fgColor rgb="FFC00000"/>
          <bgColor rgb="FF000000"/>
        </patternFill>
      </fill>
    </dxf>
  </dxfs>
  <colors>
    <indexedColors>
      <rgbColor rgb="FF000000"/>
      <rgbColor rgb="FFFFFFFF"/>
      <rgbColor rgb="FFC00000"/>
      <rgbColor rgb="FF00FF00"/>
      <rgbColor rgb="FF0000FF"/>
      <rgbColor rgb="FFFDEBD0"/>
      <rgbColor rgb="FFFF00FF"/>
      <rgbColor rgb="FF00FFFF"/>
      <rgbColor rgb="FF800000"/>
      <rgbColor rgb="FF008000"/>
      <rgbColor rgb="FF000080"/>
      <rgbColor rgb="FF7D6608"/>
      <rgbColor rgb="FF800080"/>
      <rgbColor rgb="FF008080"/>
      <rgbColor rgb="FFCCCCCC"/>
      <rgbColor rgb="FF808080"/>
      <rgbColor rgb="FFF2F2F2"/>
      <rgbColor rgb="FF993366"/>
      <rgbColor rgb="FFFFFFE0"/>
      <rgbColor rgb="FFD6EAF8"/>
      <rgbColor rgb="FF660066"/>
      <rgbColor rgb="FFFF8080"/>
      <rgbColor rgb="FF0066CC"/>
      <rgbColor rgb="FFE8DAEF"/>
      <rgbColor rgb="FF000080"/>
      <rgbColor rgb="FFFF00FF"/>
      <rgbColor rgb="FFFDEDEC"/>
      <rgbColor rgb="FF00FFFF"/>
      <rgbColor rgb="FF800080"/>
      <rgbColor rgb="FF800000"/>
      <rgbColor rgb="FF008080"/>
      <rgbColor rgb="FF0000FF"/>
      <rgbColor rgb="FF00CCFF"/>
      <rgbColor rgb="FFDEEAF1"/>
      <rgbColor rgb="FFD5F5E3"/>
      <rgbColor rgb="FFFFF2CC"/>
      <rgbColor rgb="FFD6E4F0"/>
      <rgbColor rgb="FFFCE4D6"/>
      <rgbColor rgb="FFE2EFDA"/>
      <rgbColor rgb="FFFAD7A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375623"/>
      <rgbColor rgb="FF5C4A00"/>
      <rgbColor rgb="FF993300"/>
      <rgbColor rgb="FF993366"/>
      <rgbColor rgb="FF333399"/>
      <rgbColor rgb="FF1A1A1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3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18"/>
    <col collapsed="false" customWidth="true" hidden="false" outlineLevel="0" max="3" min="3" style="1" width="38"/>
    <col collapsed="false" customWidth="true" hidden="false" outlineLevel="0" max="4" min="4" style="1" width="28"/>
    <col collapsed="false" customWidth="true" hidden="false" outlineLevel="0" max="8" min="5" style="1" width="10"/>
    <col collapsed="false" customWidth="true" hidden="false" outlineLevel="0" max="9" min="9" style="1" width="35"/>
    <col collapsed="false" customWidth="true" hidden="false" outlineLevel="0" max="10" min="10" style="1" width="18"/>
    <col collapsed="false" customWidth="true" hidden="false" outlineLevel="0" max="11" min="11" style="1" width="38"/>
    <col collapsed="false" customWidth="true" hidden="false" outlineLevel="0" max="12" min="12" style="1" width="12"/>
  </cols>
  <sheetData>
    <row r="1" customFormat="false" ht="30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customFormat="false" ht="18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6" hidden="false" customHeight="true" outlineLevel="0" collapsed="false"/>
    <row r="4" customFormat="false" ht="34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</row>
    <row r="5" customFormat="false" ht="60" hidden="false" customHeight="true" outlineLevel="0" collapsed="false">
      <c r="A5" s="5" t="s">
        <v>14</v>
      </c>
      <c r="B5" s="5" t="s">
        <v>15</v>
      </c>
      <c r="C5" s="6" t="s">
        <v>16</v>
      </c>
      <c r="D5" s="6" t="s">
        <v>17</v>
      </c>
      <c r="E5" s="7" t="n">
        <v>5</v>
      </c>
      <c r="F5" s="7" t="n">
        <v>5</v>
      </c>
      <c r="G5" s="8" t="n">
        <v>25</v>
      </c>
      <c r="H5" s="8" t="s">
        <v>18</v>
      </c>
      <c r="I5" s="6" t="s">
        <v>19</v>
      </c>
      <c r="J5" s="6" t="s">
        <v>20</v>
      </c>
      <c r="K5" s="6" t="s">
        <v>21</v>
      </c>
      <c r="L5" s="9" t="s">
        <v>22</v>
      </c>
    </row>
    <row r="6" customFormat="false" ht="60" hidden="false" customHeight="true" outlineLevel="0" collapsed="false">
      <c r="A6" s="5" t="s">
        <v>23</v>
      </c>
      <c r="B6" s="5" t="s">
        <v>15</v>
      </c>
      <c r="C6" s="6" t="s">
        <v>24</v>
      </c>
      <c r="D6" s="6" t="s">
        <v>25</v>
      </c>
      <c r="E6" s="7" t="n">
        <v>5</v>
      </c>
      <c r="F6" s="7" t="n">
        <v>4</v>
      </c>
      <c r="G6" s="8" t="n">
        <v>20</v>
      </c>
      <c r="H6" s="8" t="s">
        <v>18</v>
      </c>
      <c r="I6" s="6" t="s">
        <v>26</v>
      </c>
      <c r="J6" s="6" t="s">
        <v>20</v>
      </c>
      <c r="K6" s="6" t="s">
        <v>27</v>
      </c>
      <c r="L6" s="9" t="s">
        <v>22</v>
      </c>
    </row>
    <row r="7" customFormat="false" ht="60" hidden="false" customHeight="true" outlineLevel="0" collapsed="false">
      <c r="A7" s="5" t="s">
        <v>28</v>
      </c>
      <c r="B7" s="5" t="s">
        <v>15</v>
      </c>
      <c r="C7" s="6" t="s">
        <v>29</v>
      </c>
      <c r="D7" s="6" t="s">
        <v>30</v>
      </c>
      <c r="E7" s="7" t="n">
        <v>4</v>
      </c>
      <c r="F7" s="7" t="n">
        <v>5</v>
      </c>
      <c r="G7" s="8" t="n">
        <v>20</v>
      </c>
      <c r="H7" s="8" t="s">
        <v>18</v>
      </c>
      <c r="I7" s="6" t="s">
        <v>31</v>
      </c>
      <c r="J7" s="6" t="s">
        <v>32</v>
      </c>
      <c r="K7" s="6" t="s">
        <v>33</v>
      </c>
      <c r="L7" s="9" t="s">
        <v>22</v>
      </c>
    </row>
    <row r="8" customFormat="false" ht="60" hidden="false" customHeight="true" outlineLevel="0" collapsed="false">
      <c r="A8" s="5" t="s">
        <v>34</v>
      </c>
      <c r="B8" s="5" t="s">
        <v>15</v>
      </c>
      <c r="C8" s="6" t="s">
        <v>35</v>
      </c>
      <c r="D8" s="6" t="s">
        <v>36</v>
      </c>
      <c r="E8" s="7" t="n">
        <v>4</v>
      </c>
      <c r="F8" s="7" t="n">
        <v>5</v>
      </c>
      <c r="G8" s="8" t="n">
        <v>20</v>
      </c>
      <c r="H8" s="8" t="s">
        <v>18</v>
      </c>
      <c r="I8" s="6" t="s">
        <v>37</v>
      </c>
      <c r="J8" s="6" t="s">
        <v>20</v>
      </c>
      <c r="K8" s="6" t="s">
        <v>38</v>
      </c>
      <c r="L8" s="9" t="s">
        <v>22</v>
      </c>
    </row>
    <row r="9" customFormat="false" ht="60" hidden="false" customHeight="true" outlineLevel="0" collapsed="false">
      <c r="A9" s="5" t="s">
        <v>39</v>
      </c>
      <c r="B9" s="5" t="s">
        <v>15</v>
      </c>
      <c r="C9" s="6" t="s">
        <v>40</v>
      </c>
      <c r="D9" s="6" t="s">
        <v>17</v>
      </c>
      <c r="E9" s="7" t="n">
        <v>3</v>
      </c>
      <c r="F9" s="7" t="n">
        <v>4</v>
      </c>
      <c r="G9" s="10" t="n">
        <v>12</v>
      </c>
      <c r="H9" s="10" t="s">
        <v>41</v>
      </c>
      <c r="I9" s="6" t="s">
        <v>42</v>
      </c>
      <c r="J9" s="6" t="s">
        <v>20</v>
      </c>
      <c r="K9" s="6" t="s">
        <v>43</v>
      </c>
      <c r="L9" s="9" t="s">
        <v>44</v>
      </c>
    </row>
    <row r="10" customFormat="false" ht="60" hidden="false" customHeight="true" outlineLevel="0" collapsed="false">
      <c r="A10" s="11" t="s">
        <v>45</v>
      </c>
      <c r="B10" s="11" t="s">
        <v>46</v>
      </c>
      <c r="C10" s="6" t="s">
        <v>47</v>
      </c>
      <c r="D10" s="6" t="s">
        <v>48</v>
      </c>
      <c r="E10" s="7" t="n">
        <v>3</v>
      </c>
      <c r="F10" s="7" t="n">
        <v>5</v>
      </c>
      <c r="G10" s="8" t="n">
        <v>15</v>
      </c>
      <c r="H10" s="8" t="s">
        <v>18</v>
      </c>
      <c r="I10" s="6" t="s">
        <v>49</v>
      </c>
      <c r="J10" s="6" t="s">
        <v>20</v>
      </c>
      <c r="K10" s="6" t="s">
        <v>50</v>
      </c>
      <c r="L10" s="9" t="s">
        <v>22</v>
      </c>
    </row>
    <row r="11" customFormat="false" ht="60" hidden="false" customHeight="true" outlineLevel="0" collapsed="false">
      <c r="A11" s="11" t="s">
        <v>51</v>
      </c>
      <c r="B11" s="11" t="s">
        <v>46</v>
      </c>
      <c r="C11" s="6" t="s">
        <v>52</v>
      </c>
      <c r="D11" s="6" t="s">
        <v>53</v>
      </c>
      <c r="E11" s="7" t="n">
        <v>3</v>
      </c>
      <c r="F11" s="7" t="n">
        <v>5</v>
      </c>
      <c r="G11" s="8" t="n">
        <v>15</v>
      </c>
      <c r="H11" s="8" t="s">
        <v>18</v>
      </c>
      <c r="I11" s="6" t="s">
        <v>54</v>
      </c>
      <c r="J11" s="6" t="s">
        <v>20</v>
      </c>
      <c r="K11" s="6" t="s">
        <v>55</v>
      </c>
      <c r="L11" s="9" t="s">
        <v>22</v>
      </c>
    </row>
    <row r="12" customFormat="false" ht="60" hidden="false" customHeight="true" outlineLevel="0" collapsed="false">
      <c r="A12" s="11" t="s">
        <v>56</v>
      </c>
      <c r="B12" s="11" t="s">
        <v>46</v>
      </c>
      <c r="C12" s="6" t="s">
        <v>57</v>
      </c>
      <c r="D12" s="6" t="s">
        <v>58</v>
      </c>
      <c r="E12" s="7" t="n">
        <v>3</v>
      </c>
      <c r="F12" s="7" t="n">
        <v>4</v>
      </c>
      <c r="G12" s="10" t="n">
        <v>12</v>
      </c>
      <c r="H12" s="10" t="s">
        <v>41</v>
      </c>
      <c r="I12" s="6" t="s">
        <v>59</v>
      </c>
      <c r="J12" s="6" t="s">
        <v>20</v>
      </c>
      <c r="K12" s="6" t="s">
        <v>60</v>
      </c>
      <c r="L12" s="9" t="s">
        <v>44</v>
      </c>
    </row>
    <row r="13" customFormat="false" ht="60" hidden="false" customHeight="true" outlineLevel="0" collapsed="false">
      <c r="A13" s="11" t="s">
        <v>61</v>
      </c>
      <c r="B13" s="11" t="s">
        <v>46</v>
      </c>
      <c r="C13" s="6" t="s">
        <v>62</v>
      </c>
      <c r="D13" s="6" t="s">
        <v>63</v>
      </c>
      <c r="E13" s="7" t="n">
        <v>3</v>
      </c>
      <c r="F13" s="7" t="n">
        <v>4</v>
      </c>
      <c r="G13" s="10" t="n">
        <v>12</v>
      </c>
      <c r="H13" s="10" t="s">
        <v>41</v>
      </c>
      <c r="I13" s="6" t="s">
        <v>64</v>
      </c>
      <c r="J13" s="6" t="s">
        <v>32</v>
      </c>
      <c r="K13" s="6" t="s">
        <v>65</v>
      </c>
      <c r="L13" s="9" t="s">
        <v>22</v>
      </c>
    </row>
    <row r="14" customFormat="false" ht="60" hidden="false" customHeight="true" outlineLevel="0" collapsed="false">
      <c r="A14" s="12" t="s">
        <v>66</v>
      </c>
      <c r="B14" s="12" t="s">
        <v>67</v>
      </c>
      <c r="C14" s="6" t="s">
        <v>68</v>
      </c>
      <c r="D14" s="6" t="s">
        <v>69</v>
      </c>
      <c r="E14" s="7" t="n">
        <v>4</v>
      </c>
      <c r="F14" s="7" t="n">
        <v>5</v>
      </c>
      <c r="G14" s="8" t="n">
        <v>20</v>
      </c>
      <c r="H14" s="8" t="s">
        <v>18</v>
      </c>
      <c r="I14" s="6" t="s">
        <v>70</v>
      </c>
      <c r="J14" s="6" t="s">
        <v>71</v>
      </c>
      <c r="K14" s="6" t="s">
        <v>72</v>
      </c>
      <c r="L14" s="9" t="s">
        <v>22</v>
      </c>
    </row>
    <row r="15" customFormat="false" ht="60" hidden="false" customHeight="true" outlineLevel="0" collapsed="false">
      <c r="A15" s="12" t="s">
        <v>73</v>
      </c>
      <c r="B15" s="12" t="s">
        <v>67</v>
      </c>
      <c r="C15" s="6" t="s">
        <v>74</v>
      </c>
      <c r="D15" s="6" t="s">
        <v>75</v>
      </c>
      <c r="E15" s="7" t="n">
        <v>4</v>
      </c>
      <c r="F15" s="7" t="n">
        <v>5</v>
      </c>
      <c r="G15" s="8" t="n">
        <v>20</v>
      </c>
      <c r="H15" s="8" t="s">
        <v>18</v>
      </c>
      <c r="I15" s="6" t="s">
        <v>76</v>
      </c>
      <c r="J15" s="6" t="s">
        <v>77</v>
      </c>
      <c r="K15" s="6" t="s">
        <v>78</v>
      </c>
      <c r="L15" s="9" t="s">
        <v>22</v>
      </c>
    </row>
    <row r="16" customFormat="false" ht="60" hidden="false" customHeight="true" outlineLevel="0" collapsed="false">
      <c r="A16" s="12" t="s">
        <v>79</v>
      </c>
      <c r="B16" s="12" t="s">
        <v>67</v>
      </c>
      <c r="C16" s="6" t="s">
        <v>80</v>
      </c>
      <c r="D16" s="6" t="s">
        <v>81</v>
      </c>
      <c r="E16" s="7" t="n">
        <v>3</v>
      </c>
      <c r="F16" s="7" t="n">
        <v>5</v>
      </c>
      <c r="G16" s="8" t="n">
        <v>15</v>
      </c>
      <c r="H16" s="8" t="s">
        <v>18</v>
      </c>
      <c r="I16" s="6" t="s">
        <v>82</v>
      </c>
      <c r="J16" s="6" t="s">
        <v>32</v>
      </c>
      <c r="K16" s="6" t="s">
        <v>83</v>
      </c>
      <c r="L16" s="9" t="s">
        <v>44</v>
      </c>
    </row>
    <row r="17" customFormat="false" ht="60" hidden="false" customHeight="true" outlineLevel="0" collapsed="false">
      <c r="A17" s="12" t="s">
        <v>84</v>
      </c>
      <c r="B17" s="12" t="s">
        <v>67</v>
      </c>
      <c r="C17" s="6" t="s">
        <v>85</v>
      </c>
      <c r="D17" s="6" t="s">
        <v>86</v>
      </c>
      <c r="E17" s="7" t="n">
        <v>3</v>
      </c>
      <c r="F17" s="7" t="n">
        <v>4</v>
      </c>
      <c r="G17" s="10" t="n">
        <v>12</v>
      </c>
      <c r="H17" s="10" t="s">
        <v>41</v>
      </c>
      <c r="I17" s="6" t="s">
        <v>87</v>
      </c>
      <c r="J17" s="6" t="s">
        <v>88</v>
      </c>
      <c r="K17" s="6" t="s">
        <v>89</v>
      </c>
      <c r="L17" s="9" t="s">
        <v>22</v>
      </c>
    </row>
    <row r="18" customFormat="false" ht="60" hidden="false" customHeight="true" outlineLevel="0" collapsed="false">
      <c r="A18" s="13" t="s">
        <v>90</v>
      </c>
      <c r="B18" s="13" t="s">
        <v>91</v>
      </c>
      <c r="C18" s="6" t="s">
        <v>92</v>
      </c>
      <c r="D18" s="6" t="s">
        <v>93</v>
      </c>
      <c r="E18" s="7" t="n">
        <v>4</v>
      </c>
      <c r="F18" s="7" t="n">
        <v>5</v>
      </c>
      <c r="G18" s="8" t="n">
        <v>20</v>
      </c>
      <c r="H18" s="8" t="s">
        <v>18</v>
      </c>
      <c r="I18" s="6" t="s">
        <v>94</v>
      </c>
      <c r="J18" s="6" t="s">
        <v>88</v>
      </c>
      <c r="K18" s="6" t="s">
        <v>95</v>
      </c>
      <c r="L18" s="9" t="s">
        <v>22</v>
      </c>
    </row>
    <row r="19" customFormat="false" ht="60" hidden="false" customHeight="true" outlineLevel="0" collapsed="false">
      <c r="A19" s="13" t="s">
        <v>96</v>
      </c>
      <c r="B19" s="13" t="s">
        <v>91</v>
      </c>
      <c r="C19" s="6" t="s">
        <v>97</v>
      </c>
      <c r="D19" s="6" t="s">
        <v>98</v>
      </c>
      <c r="E19" s="7" t="n">
        <v>3</v>
      </c>
      <c r="F19" s="7" t="n">
        <v>5</v>
      </c>
      <c r="G19" s="8" t="n">
        <v>15</v>
      </c>
      <c r="H19" s="8" t="s">
        <v>18</v>
      </c>
      <c r="I19" s="6" t="s">
        <v>99</v>
      </c>
      <c r="J19" s="6" t="s">
        <v>20</v>
      </c>
      <c r="K19" s="6" t="s">
        <v>100</v>
      </c>
      <c r="L19" s="9" t="s">
        <v>44</v>
      </c>
    </row>
    <row r="20" customFormat="false" ht="60" hidden="false" customHeight="true" outlineLevel="0" collapsed="false">
      <c r="A20" s="13" t="s">
        <v>101</v>
      </c>
      <c r="B20" s="13" t="s">
        <v>91</v>
      </c>
      <c r="C20" s="6" t="s">
        <v>102</v>
      </c>
      <c r="D20" s="6" t="s">
        <v>103</v>
      </c>
      <c r="E20" s="7" t="n">
        <v>4</v>
      </c>
      <c r="F20" s="7" t="n">
        <v>4</v>
      </c>
      <c r="G20" s="8" t="n">
        <v>16</v>
      </c>
      <c r="H20" s="8" t="s">
        <v>18</v>
      </c>
      <c r="I20" s="6" t="s">
        <v>104</v>
      </c>
      <c r="J20" s="6" t="s">
        <v>32</v>
      </c>
      <c r="K20" s="6" t="s">
        <v>105</v>
      </c>
      <c r="L20" s="9" t="s">
        <v>22</v>
      </c>
    </row>
    <row r="21" customFormat="false" ht="60" hidden="false" customHeight="true" outlineLevel="0" collapsed="false">
      <c r="A21" s="13" t="s">
        <v>106</v>
      </c>
      <c r="B21" s="13" t="s">
        <v>91</v>
      </c>
      <c r="C21" s="6" t="s">
        <v>107</v>
      </c>
      <c r="D21" s="6" t="s">
        <v>108</v>
      </c>
      <c r="E21" s="7" t="n">
        <v>3</v>
      </c>
      <c r="F21" s="7" t="n">
        <v>4</v>
      </c>
      <c r="G21" s="10" t="n">
        <v>12</v>
      </c>
      <c r="H21" s="10" t="s">
        <v>41</v>
      </c>
      <c r="I21" s="6" t="s">
        <v>109</v>
      </c>
      <c r="J21" s="6" t="s">
        <v>110</v>
      </c>
      <c r="K21" s="6" t="s">
        <v>111</v>
      </c>
      <c r="L21" s="9" t="s">
        <v>44</v>
      </c>
    </row>
    <row r="22" customFormat="false" ht="60" hidden="false" customHeight="true" outlineLevel="0" collapsed="false">
      <c r="A22" s="14" t="s">
        <v>112</v>
      </c>
      <c r="B22" s="14" t="s">
        <v>113</v>
      </c>
      <c r="C22" s="6" t="s">
        <v>114</v>
      </c>
      <c r="D22" s="6" t="s">
        <v>115</v>
      </c>
      <c r="E22" s="7" t="n">
        <v>3</v>
      </c>
      <c r="F22" s="7" t="n">
        <v>4</v>
      </c>
      <c r="G22" s="10" t="n">
        <v>12</v>
      </c>
      <c r="H22" s="10" t="s">
        <v>41</v>
      </c>
      <c r="I22" s="6" t="s">
        <v>116</v>
      </c>
      <c r="J22" s="6" t="s">
        <v>20</v>
      </c>
      <c r="K22" s="6" t="s">
        <v>117</v>
      </c>
      <c r="L22" s="9" t="s">
        <v>22</v>
      </c>
    </row>
    <row r="23" customFormat="false" ht="60" hidden="false" customHeight="true" outlineLevel="0" collapsed="false">
      <c r="A23" s="14" t="s">
        <v>118</v>
      </c>
      <c r="B23" s="14" t="s">
        <v>113</v>
      </c>
      <c r="C23" s="6" t="s">
        <v>119</v>
      </c>
      <c r="D23" s="6" t="s">
        <v>120</v>
      </c>
      <c r="E23" s="7" t="n">
        <v>2</v>
      </c>
      <c r="F23" s="7" t="n">
        <v>4</v>
      </c>
      <c r="G23" s="10" t="n">
        <v>8</v>
      </c>
      <c r="H23" s="10" t="s">
        <v>41</v>
      </c>
      <c r="I23" s="6" t="s">
        <v>121</v>
      </c>
      <c r="J23" s="6" t="s">
        <v>122</v>
      </c>
      <c r="K23" s="6" t="s">
        <v>123</v>
      </c>
      <c r="L23" s="9" t="s">
        <v>44</v>
      </c>
    </row>
    <row r="24" customFormat="false" ht="60" hidden="false" customHeight="true" outlineLevel="0" collapsed="false">
      <c r="A24" s="14" t="s">
        <v>124</v>
      </c>
      <c r="B24" s="14" t="s">
        <v>113</v>
      </c>
      <c r="C24" s="6" t="s">
        <v>125</v>
      </c>
      <c r="D24" s="6" t="s">
        <v>126</v>
      </c>
      <c r="E24" s="7" t="n">
        <v>2</v>
      </c>
      <c r="F24" s="7" t="n">
        <v>4</v>
      </c>
      <c r="G24" s="10" t="n">
        <v>8</v>
      </c>
      <c r="H24" s="10" t="s">
        <v>41</v>
      </c>
      <c r="I24" s="6" t="s">
        <v>127</v>
      </c>
      <c r="J24" s="6" t="s">
        <v>128</v>
      </c>
      <c r="K24" s="6" t="s">
        <v>129</v>
      </c>
      <c r="L24" s="9" t="s">
        <v>44</v>
      </c>
    </row>
    <row r="25" customFormat="false" ht="60" hidden="false" customHeight="true" outlineLevel="0" collapsed="false">
      <c r="A25" s="15" t="s">
        <v>130</v>
      </c>
      <c r="B25" s="15" t="s">
        <v>131</v>
      </c>
      <c r="C25" s="6" t="s">
        <v>132</v>
      </c>
      <c r="D25" s="6" t="s">
        <v>133</v>
      </c>
      <c r="E25" s="7" t="n">
        <v>4</v>
      </c>
      <c r="F25" s="7" t="n">
        <v>5</v>
      </c>
      <c r="G25" s="8" t="n">
        <v>20</v>
      </c>
      <c r="H25" s="8" t="s">
        <v>18</v>
      </c>
      <c r="I25" s="6" t="s">
        <v>134</v>
      </c>
      <c r="J25" s="6" t="s">
        <v>135</v>
      </c>
      <c r="K25" s="6" t="s">
        <v>136</v>
      </c>
      <c r="L25" s="9" t="s">
        <v>22</v>
      </c>
    </row>
    <row r="26" customFormat="false" ht="60" hidden="false" customHeight="true" outlineLevel="0" collapsed="false">
      <c r="A26" s="15" t="s">
        <v>137</v>
      </c>
      <c r="B26" s="15" t="s">
        <v>131</v>
      </c>
      <c r="C26" s="6" t="s">
        <v>138</v>
      </c>
      <c r="D26" s="6" t="s">
        <v>139</v>
      </c>
      <c r="E26" s="7" t="n">
        <v>3</v>
      </c>
      <c r="F26" s="7" t="n">
        <v>4</v>
      </c>
      <c r="G26" s="10" t="n">
        <v>12</v>
      </c>
      <c r="H26" s="10" t="s">
        <v>41</v>
      </c>
      <c r="I26" s="6" t="s">
        <v>140</v>
      </c>
      <c r="J26" s="6" t="s">
        <v>141</v>
      </c>
      <c r="K26" s="6" t="s">
        <v>142</v>
      </c>
      <c r="L26" s="9" t="s">
        <v>22</v>
      </c>
    </row>
    <row r="27" customFormat="false" ht="60" hidden="false" customHeight="true" outlineLevel="0" collapsed="false">
      <c r="A27" s="15" t="s">
        <v>143</v>
      </c>
      <c r="B27" s="15" t="s">
        <v>131</v>
      </c>
      <c r="C27" s="6" t="s">
        <v>144</v>
      </c>
      <c r="D27" s="6" t="s">
        <v>145</v>
      </c>
      <c r="E27" s="7" t="n">
        <v>3</v>
      </c>
      <c r="F27" s="7" t="n">
        <v>4</v>
      </c>
      <c r="G27" s="10" t="n">
        <v>12</v>
      </c>
      <c r="H27" s="10" t="s">
        <v>41</v>
      </c>
      <c r="I27" s="6" t="s">
        <v>146</v>
      </c>
      <c r="J27" s="6" t="s">
        <v>147</v>
      </c>
      <c r="K27" s="6" t="s">
        <v>148</v>
      </c>
      <c r="L27" s="9" t="s">
        <v>22</v>
      </c>
    </row>
    <row r="28" customFormat="false" ht="60" hidden="false" customHeight="true" outlineLevel="0" collapsed="false">
      <c r="A28" s="16" t="s">
        <v>149</v>
      </c>
      <c r="B28" s="16" t="s">
        <v>150</v>
      </c>
      <c r="C28" s="6" t="s">
        <v>151</v>
      </c>
      <c r="D28" s="6" t="s">
        <v>152</v>
      </c>
      <c r="E28" s="7" t="n">
        <v>4</v>
      </c>
      <c r="F28" s="7" t="n">
        <v>4</v>
      </c>
      <c r="G28" s="8" t="n">
        <v>16</v>
      </c>
      <c r="H28" s="8" t="s">
        <v>18</v>
      </c>
      <c r="I28" s="6" t="s">
        <v>153</v>
      </c>
      <c r="J28" s="6" t="s">
        <v>154</v>
      </c>
      <c r="K28" s="6" t="s">
        <v>155</v>
      </c>
      <c r="L28" s="9" t="s">
        <v>44</v>
      </c>
    </row>
    <row r="29" customFormat="false" ht="60" hidden="false" customHeight="true" outlineLevel="0" collapsed="false">
      <c r="A29" s="16" t="s">
        <v>156</v>
      </c>
      <c r="B29" s="16" t="s">
        <v>150</v>
      </c>
      <c r="C29" s="6" t="s">
        <v>157</v>
      </c>
      <c r="D29" s="6" t="s">
        <v>158</v>
      </c>
      <c r="E29" s="7" t="n">
        <v>3</v>
      </c>
      <c r="F29" s="7" t="n">
        <v>5</v>
      </c>
      <c r="G29" s="8" t="n">
        <v>15</v>
      </c>
      <c r="H29" s="8" t="s">
        <v>18</v>
      </c>
      <c r="I29" s="6" t="s">
        <v>159</v>
      </c>
      <c r="J29" s="6" t="s">
        <v>160</v>
      </c>
      <c r="K29" s="6" t="s">
        <v>161</v>
      </c>
      <c r="L29" s="9" t="s">
        <v>22</v>
      </c>
    </row>
    <row r="30" customFormat="false" ht="60" hidden="false" customHeight="true" outlineLevel="0" collapsed="false">
      <c r="A30" s="16" t="s">
        <v>162</v>
      </c>
      <c r="B30" s="16" t="s">
        <v>150</v>
      </c>
      <c r="C30" s="6" t="s">
        <v>163</v>
      </c>
      <c r="D30" s="6" t="s">
        <v>164</v>
      </c>
      <c r="E30" s="7" t="n">
        <v>4</v>
      </c>
      <c r="F30" s="7" t="n">
        <v>4</v>
      </c>
      <c r="G30" s="8" t="n">
        <v>16</v>
      </c>
      <c r="H30" s="8" t="s">
        <v>18</v>
      </c>
      <c r="I30" s="6" t="s">
        <v>165</v>
      </c>
      <c r="J30" s="6" t="s">
        <v>166</v>
      </c>
      <c r="K30" s="6" t="s">
        <v>167</v>
      </c>
      <c r="L30" s="9" t="s">
        <v>22</v>
      </c>
    </row>
  </sheetData>
  <autoFilter ref="A4:L30"/>
  <mergeCells count="2">
    <mergeCell ref="A1:L1"/>
    <mergeCell ref="A2:L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8"/>
    <col collapsed="false" customWidth="true" hidden="false" outlineLevel="0" max="8" min="3" style="1" width="16"/>
  </cols>
  <sheetData>
    <row r="1" customFormat="false" ht="30" hidden="false" customHeight="true" outlineLevel="0" collapsed="false">
      <c r="A1" s="2" t="s">
        <v>168</v>
      </c>
      <c r="B1" s="2"/>
      <c r="C1" s="2"/>
      <c r="D1" s="2"/>
      <c r="E1" s="2"/>
      <c r="F1" s="2"/>
      <c r="G1" s="2"/>
    </row>
    <row r="3" customFormat="false" ht="15" hidden="false" customHeight="true" outlineLevel="0" collapsed="false">
      <c r="A3" s="17" t="s">
        <v>169</v>
      </c>
      <c r="C3" s="18" t="s">
        <v>170</v>
      </c>
    </row>
    <row r="4" customFormat="false" ht="34.5" hidden="false" customHeight="true" outlineLevel="0" collapsed="false">
      <c r="A4" s="19" t="s">
        <v>171</v>
      </c>
      <c r="C4" s="20"/>
      <c r="D4" s="20" t="s">
        <v>172</v>
      </c>
      <c r="E4" s="20" t="s">
        <v>173</v>
      </c>
      <c r="F4" s="20" t="s">
        <v>174</v>
      </c>
      <c r="G4" s="20" t="s">
        <v>175</v>
      </c>
      <c r="H4" s="20" t="s">
        <v>176</v>
      </c>
    </row>
    <row r="5" customFormat="false" ht="54.75" hidden="false" customHeight="true" outlineLevel="0" collapsed="false">
      <c r="A5" s="21" t="s">
        <v>177</v>
      </c>
      <c r="C5" s="20" t="s">
        <v>178</v>
      </c>
      <c r="D5" s="22" t="s">
        <v>179</v>
      </c>
      <c r="E5" s="23" t="s">
        <v>180</v>
      </c>
      <c r="F5" s="24" t="s">
        <v>181</v>
      </c>
      <c r="G5" s="24" t="s">
        <v>182</v>
      </c>
      <c r="H5" s="24" t="s">
        <v>183</v>
      </c>
    </row>
    <row r="6" customFormat="false" ht="54.75" hidden="false" customHeight="true" outlineLevel="0" collapsed="false">
      <c r="A6" s="25" t="s">
        <v>184</v>
      </c>
      <c r="C6" s="20" t="s">
        <v>185</v>
      </c>
      <c r="D6" s="22" t="s">
        <v>186</v>
      </c>
      <c r="E6" s="23" t="s">
        <v>187</v>
      </c>
      <c r="F6" s="23" t="s">
        <v>188</v>
      </c>
      <c r="G6" s="24" t="s">
        <v>189</v>
      </c>
      <c r="H6" s="24" t="s">
        <v>190</v>
      </c>
    </row>
    <row r="7" customFormat="false" ht="54.75" hidden="false" customHeight="true" outlineLevel="0" collapsed="false">
      <c r="A7" s="26" t="s">
        <v>191</v>
      </c>
      <c r="C7" s="20" t="s">
        <v>192</v>
      </c>
      <c r="D7" s="27" t="s">
        <v>193</v>
      </c>
      <c r="E7" s="22" t="s">
        <v>194</v>
      </c>
      <c r="F7" s="23" t="s">
        <v>195</v>
      </c>
      <c r="G7" s="23" t="s">
        <v>196</v>
      </c>
      <c r="H7" s="24" t="s">
        <v>197</v>
      </c>
    </row>
    <row r="8" customFormat="false" ht="54.75" hidden="false" customHeight="true" outlineLevel="0" collapsed="false">
      <c r="C8" s="20" t="s">
        <v>198</v>
      </c>
      <c r="D8" s="27" t="s">
        <v>199</v>
      </c>
      <c r="E8" s="22" t="s">
        <v>186</v>
      </c>
      <c r="F8" s="22" t="s">
        <v>194</v>
      </c>
      <c r="G8" s="23" t="s">
        <v>200</v>
      </c>
      <c r="H8" s="23" t="s">
        <v>180</v>
      </c>
    </row>
    <row r="9" customFormat="false" ht="54.75" hidden="false" customHeight="true" outlineLevel="0" collapsed="false">
      <c r="C9" s="20" t="s">
        <v>201</v>
      </c>
      <c r="D9" s="27" t="s">
        <v>202</v>
      </c>
      <c r="E9" s="27" t="s">
        <v>199</v>
      </c>
      <c r="F9" s="27" t="s">
        <v>193</v>
      </c>
      <c r="G9" s="22" t="s">
        <v>186</v>
      </c>
      <c r="H9" s="22" t="s">
        <v>179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6"/>
    <col collapsed="false" customWidth="true" hidden="false" outlineLevel="0" max="4" min="2" style="1" width="12"/>
  </cols>
  <sheetData>
    <row r="1" customFormat="false" ht="30" hidden="false" customHeight="true" outlineLevel="0" collapsed="false">
      <c r="A1" s="2" t="s">
        <v>203</v>
      </c>
      <c r="B1" s="2"/>
      <c r="C1" s="2"/>
      <c r="D1" s="2"/>
    </row>
    <row r="3" customFormat="false" ht="15" hidden="false" customHeight="true" outlineLevel="0" collapsed="false">
      <c r="A3" s="18" t="s">
        <v>204</v>
      </c>
    </row>
    <row r="4" customFormat="false" ht="15" hidden="false" customHeight="true" outlineLevel="0" collapsed="false">
      <c r="A4" s="28" t="s">
        <v>9</v>
      </c>
      <c r="B4" s="28" t="s">
        <v>205</v>
      </c>
    </row>
    <row r="5" customFormat="false" ht="21.75" hidden="false" customHeight="true" outlineLevel="0" collapsed="false">
      <c r="A5" s="19" t="s">
        <v>18</v>
      </c>
      <c r="B5" s="29" t="n">
        <f aca="false">COUNTIF('Risk Register'!H5:H30,"Critical")</f>
        <v>16</v>
      </c>
    </row>
    <row r="6" customFormat="false" ht="21.75" hidden="false" customHeight="true" outlineLevel="0" collapsed="false">
      <c r="A6" s="21" t="s">
        <v>41</v>
      </c>
      <c r="B6" s="29" t="n">
        <f aca="false">COUNTIF('Risk Register'!H5:H30,"High")</f>
        <v>10</v>
      </c>
    </row>
    <row r="7" customFormat="false" ht="21.75" hidden="false" customHeight="true" outlineLevel="0" collapsed="false">
      <c r="A7" s="25" t="s">
        <v>206</v>
      </c>
      <c r="B7" s="29" t="n">
        <f aca="false">COUNTIF('Risk Register'!H5:H30,"Medium")</f>
        <v>0</v>
      </c>
    </row>
    <row r="8" customFormat="false" ht="21.75" hidden="false" customHeight="true" outlineLevel="0" collapsed="false">
      <c r="A8" s="26" t="s">
        <v>207</v>
      </c>
      <c r="B8" s="29" t="n">
        <f aca="false">COUNTIF('Risk Register'!H5:H30,"Low")</f>
        <v>0</v>
      </c>
    </row>
    <row r="9" customFormat="false" ht="21.75" hidden="false" customHeight="true" outlineLevel="0" collapsed="false">
      <c r="A9" s="30" t="s">
        <v>208</v>
      </c>
      <c r="B9" s="31" t="n">
        <f aca="false">COUNTA('Risk Register'!A5:A30)</f>
        <v>26</v>
      </c>
    </row>
    <row r="12" customFormat="false" ht="15" hidden="false" customHeight="true" outlineLevel="0" collapsed="false">
      <c r="A12" s="18" t="s">
        <v>209</v>
      </c>
    </row>
    <row r="13" customFormat="false" ht="15" hidden="false" customHeight="true" outlineLevel="0" collapsed="false">
      <c r="A13" s="28" t="s">
        <v>3</v>
      </c>
      <c r="B13" s="28" t="s">
        <v>205</v>
      </c>
    </row>
    <row r="14" customFormat="false" ht="19.5" hidden="false" customHeight="true" outlineLevel="0" collapsed="false">
      <c r="A14" s="32" t="s">
        <v>15</v>
      </c>
      <c r="B14" s="33" t="n">
        <f aca="false">COUNTIF('Risk Register'!B5:B30,"Cybersecurity")</f>
        <v>5</v>
      </c>
    </row>
    <row r="15" customFormat="false" ht="19.5" hidden="false" customHeight="true" outlineLevel="0" collapsed="false">
      <c r="A15" s="34" t="s">
        <v>46</v>
      </c>
      <c r="B15" s="33" t="n">
        <f aca="false">COUNTIF('Risk Register'!B5:B30,"Operational")</f>
        <v>4</v>
      </c>
    </row>
    <row r="16" customFormat="false" ht="19.5" hidden="false" customHeight="true" outlineLevel="0" collapsed="false">
      <c r="A16" s="35" t="s">
        <v>67</v>
      </c>
      <c r="B16" s="33" t="n">
        <f aca="false">COUNTIF('Risk Register'!B5:B30,"Compliance &amp; Regulatory")</f>
        <v>4</v>
      </c>
    </row>
    <row r="17" customFormat="false" ht="19.5" hidden="false" customHeight="true" outlineLevel="0" collapsed="false">
      <c r="A17" s="36" t="s">
        <v>91</v>
      </c>
      <c r="B17" s="33" t="n">
        <f aca="false">COUNTIF('Risk Register'!B5:B30,"Third-Party / Vendor")</f>
        <v>4</v>
      </c>
    </row>
    <row r="18" customFormat="false" ht="19.5" hidden="false" customHeight="true" outlineLevel="0" collapsed="false">
      <c r="A18" s="37" t="s">
        <v>113</v>
      </c>
      <c r="B18" s="33" t="n">
        <f aca="false">COUNTIF('Risk Register'!B5:B30,"Physical &amp; Environmental")</f>
        <v>3</v>
      </c>
    </row>
    <row r="19" customFormat="false" ht="19.5" hidden="false" customHeight="true" outlineLevel="0" collapsed="false">
      <c r="A19" s="38" t="s">
        <v>131</v>
      </c>
      <c r="B19" s="33" t="n">
        <f aca="false">COUNTIF('Risk Register'!B5:B30,"Financial")</f>
        <v>3</v>
      </c>
    </row>
    <row r="20" customFormat="false" ht="19.5" hidden="false" customHeight="true" outlineLevel="0" collapsed="false">
      <c r="A20" s="39" t="s">
        <v>150</v>
      </c>
      <c r="B20" s="33" t="n">
        <f aca="false">COUNTIF('Risk Register'!B5:B30,"People / Human")</f>
        <v>3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2026-07-11T17:53:49Z</dcterms:created>
  <dc:creator>openpyxl</dc:creator>
  <dc:description/>
  <dc:language>en-US</dc:language>
  <cp:lastModifiedBy/>
  <dcterms:modified xsi:type="dcterms:W3CDTF">2026-07-14T10:25:37Z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